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Daily Tasks" sheetId="2" r:id="rId2"/>
    <sheet name="Course Progress" sheetId="3" r:id="rId3"/>
    <sheet name="Topic Mastery" sheetId="4" r:id="rId4"/>
    <sheet name="Exam Countdown" sheetId="5" r:id="rId5"/>
    <sheet name="Assignments" sheetId="6" r:id="rId6"/>
    <sheet name="Revision Schedule" sheetId="7" r:id="rId7"/>
    <sheet name="Mistake Log" sheetId="8" r:id="rId8"/>
    <sheet name="Slide Coverage" sheetId="9" r:id="rId9"/>
    <sheet name="Weekly Reviews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6"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b/>
      <sz val="16"/>
      <color rgb="FF111827"/>
      <name val="Calibri"/>
    </font>
    <font>
      <i/>
      <sz val="9"/>
      <color rgb="FF6B7280"/>
      <name val="Calibri"/>
    </font>
    <font>
      <b/>
      <sz val="12"/>
      <color rgb="FF11182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B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/>
    </xf>
    <xf numFmtId="164" fontId="0" fillId="0" borderId="1" xfId="0" applyNumberFormat="1" applyFont="1" applyFill="1" applyBorder="1" applyAlignment="1">
      <alignment horizontal="center" vertical="top"/>
    </xf>
    <xf numFmtId="9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vertical="top" wrapText="1"/>
    </xf>
    <xf numFmtId="164" fontId="0" fillId="8" borderId="1" xfId="0" applyNumberFormat="1" applyFont="1" applyFill="1" applyBorder="1" applyAlignment="1">
      <alignment horizontal="center" vertical="top"/>
    </xf>
    <xf numFmtId="9" fontId="0" fillId="8" borderId="1" xfId="0" applyNumberFormat="1" applyFont="1" applyFill="1" applyBorder="1" applyAlignment="1">
      <alignment horizontal="center" vertical="top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1" fillId="0" borderId="0" xfId="0" applyNumberFormat="1" applyFont="1" applyFill="1" applyBorder="1"/>
    <xf numFmtId="0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</cellXfs>
  <cellStyles count="1">
    <cellStyle name="Normal" xfId="0" builtinId="0"/>
  </cellStyles>
  <dxfs count="5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  <dxf>
      <font>
        <b/>
        <color rgb="FF991B1B"/>
      </font>
      <fill>
        <patternFill>
          <bgColor rgb="FFFEE2E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11827"/>
  </sheetPr>
  <dimension ref="A1:G30"/>
  <sheetViews>
    <sheetView workbookViewId="0" showGridLines="0"/>
  </sheetViews>
  <sheetFormatPr defaultRowHeight="15"/>
  <cols>
    <col min="1" max="1" width="13" customWidth="1"/>
    <col min="2" max="2" width="40" customWidth="1"/>
    <col min="3" max="3" width="15" customWidth="1"/>
    <col min="4" max="4" width="12" customWidth="1"/>
    <col min="5" max="5" width="26" customWidth="1"/>
    <col min="6" max="6" width="11" customWidth="1"/>
    <col min="7" max="7" width="16" customWidth="1"/>
  </cols>
  <sheetData>
    <row r="1">
      <c r="A1" s="10" t="inlineStr">
        <is>
          <t xml:space="preserve">Academic Success Plan — Dashboard</t>
        </is>
      </c>
    </row>
    <row r="2">
      <c r="A2" s="12" t="inlineStr">
        <is>
          <t xml:space="preserve">Bugün:</t>
        </is>
      </c>
      <c r="B2" s="19">
        <f>TODAY()</f>
      </c>
      <c r="D2" s="11" t="inlineStr">
        <is>
          <t xml:space="preserve">Tamamlanma ≠ öğrenme seviyesi. Öğrenme için Topic Mastery'yi doldur.</t>
        </is>
      </c>
    </row>
    <row r="4" ht="30" customHeight="1">
      <c r="A4" s="13" t="inlineStr">
        <is>
          <t xml:space="preserve">Toplam görev</t>
        </is>
      </c>
      <c r="B4" s="13" t="inlineStr">
        <is>
          <t xml:space="preserve">Tamamlanan</t>
        </is>
      </c>
      <c r="C4" s="13" t="inlineStr">
        <is>
          <t xml:space="preserve">% Tamamlanma</t>
        </is>
      </c>
      <c r="D4" s="13" t="inlineStr">
        <is>
          <t xml:space="preserve">% Min plan</t>
        </is>
      </c>
      <c r="E4" s="13" t="inlineStr">
        <is>
          <t xml:space="preserve">Planlanan saat</t>
        </is>
      </c>
      <c r="F4" s="13" t="inlineStr">
        <is>
          <t xml:space="preserve">Tamamlanan saat</t>
        </is>
      </c>
      <c r="G4" s="13" t="inlineStr">
        <is>
          <t xml:space="preserve">Geciken görev</t>
        </is>
      </c>
    </row>
    <row r="5" ht="28" customHeight="1">
      <c r="A5" s="14">
        <f>'Course Progress'!B11</f>
        <v>431</v>
      </c>
      <c r="B5" s="14">
        <f>'Course Progress'!C11</f>
        <v>0</v>
      </c>
      <c r="C5" s="15">
        <f>'Course Progress'!D11</f>
        <v>0.0</v>
      </c>
      <c r="D5" s="15">
        <f>'Course Progress'!G11</f>
        <v>0</v>
      </c>
      <c r="E5" s="20">
        <f>'Course Progress'!H11/60</f>
        <v>259.52</v>
      </c>
      <c r="F5" s="20">
        <f>'Course Progress'!I11/60</f>
        <v>0</v>
      </c>
      <c r="G5" s="14">
        <f>'Course Progress'!J11</f>
      </c>
    </row>
    <row r="7">
      <c r="A7" s="21" t="inlineStr">
        <is>
          <t xml:space="preserve">Ders bazlı ilerleme</t>
        </is>
      </c>
    </row>
    <row r="8">
      <c r="A8" s="1" t="inlineStr">
        <is>
          <t xml:space="preserve">Ders</t>
        </is>
      </c>
      <c r="B8" s="1" t="inlineStr">
        <is>
          <t xml:space="preserve">Ad</t>
        </is>
      </c>
      <c r="C8" s="1" t="inlineStr">
        <is>
          <t xml:space="preserve">% Tamamlanma</t>
        </is>
      </c>
      <c r="D8" s="1" t="inlineStr">
        <is>
          <t xml:space="preserve">% Min plan</t>
        </is>
      </c>
      <c r="E8" s="1" t="inlineStr">
        <is>
          <t xml:space="preserve">Tamamlanan / Toplam</t>
        </is>
      </c>
      <c r="F8" s="1" t="inlineStr">
        <is>
          <t xml:space="preserve">Geciken</t>
        </is>
      </c>
      <c r="G8" s="1" t="inlineStr">
        <is>
          <t xml:space="preserve">Ort. öğrenme skoru</t>
        </is>
      </c>
    </row>
    <row r="9">
      <c r="A9" s="3" t="inlineStr">
        <is>
          <t xml:space="preserve">BIO110</t>
        </is>
      </c>
      <c r="B9" s="2" t="inlineStr">
        <is>
          <t xml:space="preserve">Introduction to Modern Biology</t>
        </is>
      </c>
      <c r="C9" s="5">
        <f>'Course Progress'!D5</f>
        <v>0</v>
      </c>
      <c r="D9" s="5">
        <f>'Course Progress'!G5</f>
        <v>0</v>
      </c>
      <c r="E9" s="3" t="str">
        <f>'Course Progress'!C5&amp;" / "&amp;'Course Progress'!B5</f>
        <v>0 / 92</v>
      </c>
      <c r="F9" s="6">
        <f>'Course Progress'!J5</f>
      </c>
      <c r="G9" s="5" t="str">
        <f>IFERROR(AVERAGEIFS('Topic Mastery'!$E$5:$E$87,'Topic Mastery'!$A$5:$A$87,A9),"—")</f>
        <v>—</v>
      </c>
    </row>
    <row r="10">
      <c r="A10" s="3" t="inlineStr">
        <is>
          <t xml:space="preserve">CMPE371</t>
        </is>
      </c>
      <c r="B10" s="2" t="inlineStr">
        <is>
          <t xml:space="preserve">Signals and Systems</t>
        </is>
      </c>
      <c r="C10" s="5">
        <f>'Course Progress'!D6</f>
        <v>0</v>
      </c>
      <c r="D10" s="5">
        <f>'Course Progress'!G6</f>
        <v>0</v>
      </c>
      <c r="E10" s="3" t="str">
        <f>'Course Progress'!C6&amp;" / "&amp;'Course Progress'!B6</f>
        <v>0 / 85</v>
      </c>
      <c r="F10" s="6">
        <f>'Course Progress'!J6</f>
      </c>
      <c r="G10" s="5" t="str">
        <f>IFERROR(AVERAGEIFS('Topic Mastery'!$E$5:$E$87,'Topic Mastery'!$A$5:$A$87,A10),"—")</f>
        <v>—</v>
      </c>
    </row>
    <row r="11">
      <c r="A11" s="3" t="inlineStr">
        <is>
          <t xml:space="preserve">CMPE327</t>
        </is>
      </c>
      <c r="B11" s="2" t="inlineStr">
        <is>
          <t xml:space="preserve">Automata / Theory of Computation</t>
        </is>
      </c>
      <c r="C11" s="5">
        <f>'Course Progress'!D7</f>
        <v>0</v>
      </c>
      <c r="D11" s="5">
        <f>'Course Progress'!G7</f>
        <v>0</v>
      </c>
      <c r="E11" s="3" t="str">
        <f>'Course Progress'!C7&amp;" / "&amp;'Course Progress'!B7</f>
        <v>0 / 91</v>
      </c>
      <c r="F11" s="6">
        <f>'Course Progress'!J7</f>
      </c>
      <c r="G11" s="5" t="str">
        <f>IFERROR(AVERAGEIFS('Topic Mastery'!$E$5:$E$87,'Topic Mastery'!$A$5:$A$87,A11),"—")</f>
        <v>—</v>
      </c>
    </row>
    <row r="12">
      <c r="A12" s="3" t="inlineStr">
        <is>
          <t xml:space="preserve">CMPE421</t>
        </is>
      </c>
      <c r="B12" s="2" t="inlineStr">
        <is>
          <t xml:space="preserve">Artificial Intelligence</t>
        </is>
      </c>
      <c r="C12" s="5">
        <f>'Course Progress'!D8</f>
        <v>0</v>
      </c>
      <c r="D12" s="5">
        <f>'Course Progress'!G8</f>
        <v>0</v>
      </c>
      <c r="E12" s="3" t="str">
        <f>'Course Progress'!C8&amp;" / "&amp;'Course Progress'!B8</f>
        <v>0 / 77</v>
      </c>
      <c r="F12" s="6">
        <f>'Course Progress'!J8</f>
      </c>
      <c r="G12" s="5" t="str">
        <f>IFERROR(AVERAGEIFS('Topic Mastery'!$E$5:$E$87,'Topic Mastery'!$A$5:$A$87,A12),"—")</f>
        <v>—</v>
      </c>
    </row>
    <row r="13">
      <c r="A13" s="3" t="inlineStr">
        <is>
          <t xml:space="preserve">CMPE453</t>
        </is>
      </c>
      <c r="B13" s="2" t="inlineStr">
        <is>
          <t xml:space="preserve">Microprocessors (ATmega328P / STM32)</t>
        </is>
      </c>
      <c r="C13" s="5">
        <f>'Course Progress'!D9</f>
        <v>0</v>
      </c>
      <c r="D13" s="5">
        <f>'Course Progress'!G9</f>
        <v>0</v>
      </c>
      <c r="E13" s="3" t="str">
        <f>'Course Progress'!C9&amp;" / "&amp;'Course Progress'!B9</f>
        <v>0 / 68</v>
      </c>
      <c r="F13" s="6">
        <f>'Course Progress'!J9</f>
      </c>
      <c r="G13" s="5" t="str">
        <f>IFERROR(AVERAGEIFS('Topic Mastery'!$E$5:$E$87,'Topic Mastery'!$A$5:$A$87,A13),"—")</f>
        <v>—</v>
      </c>
    </row>
    <row r="14">
      <c r="A14" s="3" t="inlineStr">
        <is>
          <t xml:space="preserve">CMPE499</t>
        </is>
      </c>
      <c r="B14" s="2" t="inlineStr">
        <is>
          <t xml:space="preserve">Summer Training (rapor + video)</t>
        </is>
      </c>
      <c r="C14" s="5">
        <f>'Course Progress'!D10</f>
        <v>0</v>
      </c>
      <c r="D14" s="5">
        <f>'Course Progress'!G10</f>
        <v>0</v>
      </c>
      <c r="E14" s="3" t="str">
        <f>'Course Progress'!C10&amp;" / "&amp;'Course Progress'!B10</f>
        <v>0 / 18</v>
      </c>
      <c r="F14" s="6">
        <f>'Course Progress'!J10</f>
      </c>
      <c r="G14" s="5" t="str">
        <f>IFERROR(AVERAGEIFS('Topic Mastery'!$E$5:$E$87,'Topic Mastery'!$A$5:$A$87,A14),"—")</f>
        <v>—</v>
      </c>
    </row>
    <row r="16">
      <c r="A16" s="21" t="inlineStr">
        <is>
          <t xml:space="preserve">Yaklaşan sınav / teslim (Exam Countdown'dan)</t>
        </is>
      </c>
    </row>
    <row r="17">
      <c r="A17" s="1" t="inlineStr">
        <is>
          <t xml:space="preserve">Ders</t>
        </is>
      </c>
      <c r="B17" s="1" t="inlineStr">
        <is>
          <t xml:space="preserve">Başlık</t>
        </is>
      </c>
      <c r="C17" s="1" t="inlineStr">
        <is>
          <t xml:space="preserve">Tarih</t>
        </is>
      </c>
      <c r="D17" s="1" t="inlineStr">
        <is>
          <t xml:space="preserve">Gün kaldı</t>
        </is>
      </c>
      <c r="E17" s="1" t="inlineStr">
        <is>
          <t xml:space="preserve">Durum</t>
        </is>
      </c>
    </row>
    <row r="18">
      <c r="A18" s="3" t="str">
        <f>'Exam Countdown'!A5</f>
        <v>BIO110</v>
      </c>
      <c r="B18" s="2" t="str">
        <f>'Exam Countdown'!B5</f>
        <v>BIO110 Midterm 1</v>
      </c>
      <c r="C18" s="16">
        <f>IF('Exam Countdown'!C5="","",'Exam Countdown'!C5)</f>
        <v>46329</v>
      </c>
      <c r="D18" s="6">
        <f>'Exam Countdown'!G5</f>
      </c>
      <c r="E18" s="2" t="str">
        <f>'Exam Countdown'!F5</f>
        <v>Kullanıcı teyitli</v>
      </c>
    </row>
    <row r="19">
      <c r="A19" s="3" t="str">
        <f>'Exam Countdown'!A6</f>
        <v>CMPE371</v>
      </c>
      <c r="B19" s="2" t="str">
        <f>'Exam Countdown'!B6</f>
        <v>CMPE371 HW1 (2–6 Kas haftası)</v>
      </c>
      <c r="C19" s="16">
        <f>IF('Exam Countdown'!C6="","",'Exam Countdown'!C6)</f>
        <v>46332</v>
      </c>
      <c r="D19" s="6">
        <f>'Exam Countdown'!G6</f>
      </c>
      <c r="E19" s="2" t="str">
        <f>'Exam Countdown'!F6</f>
        <v>Teyit Bekliyor</v>
      </c>
    </row>
    <row r="20">
      <c r="A20" s="3" t="str">
        <f>'Exam Countdown'!A7</f>
        <v>CMPE453</v>
      </c>
      <c r="B20" s="2" t="str">
        <f>'Exam Countdown'!B7</f>
        <v>CMPE453 Midterm</v>
      </c>
      <c r="C20" s="16">
        <f>IF('Exam Countdown'!C7="","",'Exam Countdown'!C7)</f>
        <v>46338</v>
      </c>
      <c r="D20" s="6">
        <f>'Exam Countdown'!G7</f>
      </c>
      <c r="E20" s="2" t="str">
        <f>'Exam Countdown'!F7</f>
        <v>Kesin (syllabus)</v>
      </c>
    </row>
    <row r="21">
      <c r="A21" s="3" t="str">
        <f>'Exam Countdown'!A8</f>
        <v>CMPE327</v>
      </c>
      <c r="B21" s="2" t="str">
        <f>'Exam Countdown'!B8</f>
        <v>CMPE327 Midterm (15 Kasım)</v>
      </c>
      <c r="C21" s="16">
        <f>IF('Exam Countdown'!C8="","",'Exam Countdown'!C8)</f>
        <v>46341</v>
      </c>
      <c r="D21" s="6">
        <f>'Exam Countdown'!G8</f>
      </c>
      <c r="E21" s="2" t="str">
        <f>'Exam Countdown'!F8</f>
        <v>Kullanıcı teyitli</v>
      </c>
    </row>
    <row r="22">
      <c r="A22" s="3" t="str">
        <f>'Exam Countdown'!A9</f>
        <v>CMPE421</v>
      </c>
      <c r="B22" s="2" t="str">
        <f>'Exam Countdown'!B9</f>
        <v>CMPE421 Midterm (20 Kasım)</v>
      </c>
      <c r="C22" s="16">
        <f>IF('Exam Countdown'!C9="","",'Exam Countdown'!C9)</f>
        <v>46346</v>
      </c>
      <c r="D22" s="6">
        <f>'Exam Countdown'!G9</f>
      </c>
      <c r="E22" s="2" t="str">
        <f>'Exam Countdown'!F9</f>
        <v>Kullanıcı teyitli</v>
      </c>
    </row>
    <row r="23">
      <c r="A23" s="3" t="str">
        <f>'Exam Countdown'!A10</f>
        <v>CMPE499</v>
      </c>
      <c r="B23" s="2" t="str">
        <f>'Exam Countdown'!B10</f>
        <v>CMPE499 Summer Training Report (STR)</v>
      </c>
      <c r="C23" s="16">
        <f>IF('Exam Countdown'!C10="","",'Exam Countdown'!C10)</f>
        <v>46348</v>
      </c>
      <c r="D23" s="6">
        <f>'Exam Countdown'!G10</f>
      </c>
      <c r="E23" s="2" t="str">
        <f>'Exam Countdown'!F10</f>
        <v>Kesin (syllabus)</v>
      </c>
    </row>
    <row r="24">
      <c r="A24" s="3" t="str">
        <f>'Exam Countdown'!A11</f>
        <v>CMPE371</v>
      </c>
      <c r="B24" s="2" t="str">
        <f>'Exam Countdown'!B11</f>
        <v>CMPE371 Midterm (23–27 Kas haftası)</v>
      </c>
      <c r="C24" s="16">
        <f>IF('Exam Countdown'!C11="","",'Exam Countdown'!C11)</f>
        <v>46349</v>
      </c>
      <c r="D24" s="6">
        <f>'Exam Countdown'!G11</f>
      </c>
      <c r="E24" s="2" t="str">
        <f>'Exam Countdown'!F11</f>
        <v>Teyit Bekliyor</v>
      </c>
    </row>
    <row r="25">
      <c r="A25" s="3" t="str">
        <f>'Exam Countdown'!A12</f>
        <v>BIO110</v>
      </c>
      <c r="B25" s="2" t="str">
        <f>'Exam Countdown'!B12</f>
        <v>BIO110 Midterm 2 (26/27 Kas)</v>
      </c>
      <c r="C25" s="16">
        <f>IF('Exam Countdown'!C12="","",'Exam Countdown'!C12)</f>
        <v>46352</v>
      </c>
      <c r="D25" s="6">
        <f>'Exam Countdown'!G12</f>
      </c>
      <c r="E25" s="2" t="str">
        <f>'Exam Countdown'!F12</f>
        <v>Teyit Bekliyor</v>
      </c>
    </row>
    <row r="26">
      <c r="A26" s="3" t="str">
        <f>'Exam Countdown'!A13</f>
        <v>CMPE499</v>
      </c>
      <c r="B26" s="2" t="str">
        <f>'Exam Countdown'!B13</f>
        <v>CMPE499 Summer Training Video</v>
      </c>
      <c r="C26" s="16">
        <f>IF('Exam Countdown'!C13="","",'Exam Countdown'!C13)</f>
        <v>46355</v>
      </c>
      <c r="D26" s="6">
        <f>'Exam Countdown'!G13</f>
      </c>
      <c r="E26" s="2" t="str">
        <f>'Exam Countdown'!F13</f>
        <v>Kesin (syllabus)</v>
      </c>
    </row>
    <row r="27">
      <c r="A27" s="3" t="str">
        <f>'Exam Countdown'!A14</f>
        <v>CMPE371</v>
      </c>
      <c r="B27" s="2" t="str">
        <f>'Exam Countdown'!B14</f>
        <v>CMPE371 Quiz 1 (7–11 Ara haftası)</v>
      </c>
      <c r="C27" s="16">
        <f>IF('Exam Countdown'!C14="","",'Exam Countdown'!C14)</f>
        <v>46363</v>
      </c>
      <c r="D27" s="6">
        <f>'Exam Countdown'!G14</f>
      </c>
      <c r="E27" s="2" t="str">
        <f>'Exam Countdown'!F14</f>
        <v>Teyit Bekliyor</v>
      </c>
    </row>
    <row r="28">
      <c r="A28" s="3" t="str">
        <f>'Exam Countdown'!A15</f>
        <v>BIO110</v>
      </c>
      <c r="B28" s="2" t="str">
        <f>'Exam Countdown'!B15</f>
        <v>BIO110 Proje sunumları (10–31 Ara)</v>
      </c>
      <c r="C28" s="16">
        <f>IF('Exam Countdown'!C15="","",'Exam Countdown'!C15)</f>
        <v>46366</v>
      </c>
      <c r="D28" s="6">
        <f>'Exam Countdown'!G15</f>
      </c>
      <c r="E28" s="2" t="str">
        <f>'Exam Countdown'!F15</f>
        <v>Teyit Bekliyor (aralık)</v>
      </c>
    </row>
    <row r="29">
      <c r="A29" s="3" t="str">
        <f>'Exam Countdown'!A16</f>
        <v>CMPE327</v>
      </c>
      <c r="B29" s="2" t="str">
        <f>'Exam Countdown'!B16</f>
        <v>CMPE327 Quiz-2 (14–18 Ara haftası)</v>
      </c>
      <c r="C29" s="16">
        <f>IF('Exam Countdown'!C16="","",'Exam Countdown'!C16)</f>
        <v>46370</v>
      </c>
      <c r="D29" s="6">
        <f>'Exam Countdown'!G16</f>
      </c>
      <c r="E29" s="2" t="str">
        <f>'Exam Countdown'!F16</f>
        <v>Teyit Bekliyor</v>
      </c>
    </row>
    <row r="30">
      <c r="A30" s="3" t="str">
        <f>'Exam Countdown'!A17</f>
        <v>GENEL</v>
      </c>
      <c r="B30" s="2" t="str">
        <f>'Exam Countdown'!B17</f>
        <v>Final sınavları (W14 sonrası)</v>
      </c>
      <c r="C30" s="16" t="str">
        <f>IF('Exam Countdown'!C17="","",'Exam Countdown'!C17)</f>
        <v/>
      </c>
      <c r="D30" s="6">
        <f>'Exam Countdown'!G17</f>
      </c>
      <c r="E30" s="2" t="str">
        <f>'Exam Countdown'!F17</f>
        <v>Duyurulacak</v>
      </c>
    </row>
  </sheetData>
  <conditionalFormatting sqref="C9:C14">
    <cfRule type="dataBar" priority="1">
      <dataBar>
        <cfvo type="num" val="0"/>
        <cfvo type="num" val="1"/>
        <color rgb="FF22C55E"/>
      </dataBar>
    </cfRule>
  </conditionalFormatting>
  <conditionalFormatting sqref="D9:D14">
    <cfRule type="dataBar" priority="2">
      <dataBar>
        <cfvo type="num" val="0"/>
        <cfvo type="num" val="1"/>
        <color rgb="FF22C55E"/>
      </dataBar>
    </cfRule>
  </conditionalFormatting>
  <conditionalFormatting sqref="F9:F14">
    <cfRule type="expression" dxfId="2" priority="3">
      <formula>$F9&gt;0</formula>
    </cfRule>
  </conditionalFormatting>
  <conditionalFormatting sqref="A18:E30">
    <cfRule type="expression" dxfId="2" priority="4">
      <formula>AND(ISNUMBER($D18),$D18&gt;=0,$D18&lt;=7)</formula>
    </cfRule>
  </conditionalFormatting>
  <conditionalFormatting sqref="A18:E30">
    <cfRule type="expression" dxfId="1" priority="5">
      <formula>AND(ISNUMBER($D18),$D18&gt;7,$D18&lt;=14)</formula>
    </cfRule>
  </conditionalFormatting>
  <conditionalFormatting sqref="A18:E30">
    <cfRule type="expression" dxfId="3" priority="6">
      <formula>AND(ISNUMBER($D18),$D18&lt;0)</formula>
    </cfRule>
  </conditionalFormatting>
  <pageMargins left="0.5" right="0.5" top="0.6" bottom="0.6" header="0.3" footer="0.3"/>
  <pageSetup paperSize="9" orientation="landscape"/>
</worksheet>
</file>

<file path=xl/worksheets/sheet2.xml><?xml version="1.0" encoding="utf-8"?>
<worksheet xmlns="http://schemas.openxmlformats.org/spreadsheetml/2006/main">
  <sheetPr>
    <tabColor rgb="FF1F2937"/>
  </sheetPr>
  <dimension ref="A1:L435"/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11" customWidth="1"/>
    <col min="3" max="3" width="11" customWidth="1"/>
    <col min="4" max="4" width="10" customWidth="1"/>
    <col min="5" max="5" width="8" customWidth="1"/>
    <col min="6" max="6" width="8" customWidth="1"/>
    <col min="7" max="7" width="8" customWidth="1"/>
    <col min="8" max="8" width="70" customWidth="1"/>
    <col min="9" max="9" width="32" customWidth="1"/>
    <col min="10" max="10" width="13" customWidth="1"/>
    <col min="11" max="11" width="24" customWidth="1"/>
    <col min="12" max="12" width="7" customWidth="1"/>
  </cols>
  <sheetData>
    <row r="1">
      <c r="A1" s="1" t="inlineStr">
        <is>
          <t xml:space="preserve">ID</t>
        </is>
      </c>
      <c r="B1" s="1" t="inlineStr">
        <is>
          <t xml:space="preserve">Tarih</t>
        </is>
      </c>
      <c r="C1" s="1" t="inlineStr">
        <is>
          <t xml:space="preserve">Gün</t>
        </is>
      </c>
      <c r="D1" s="1" t="inlineStr">
        <is>
          <t xml:space="preserve">Ders</t>
        </is>
      </c>
      <c r="E1" s="1" t="inlineStr">
        <is>
          <t xml:space="preserve">Seviye</t>
        </is>
      </c>
      <c r="F1" s="1" t="inlineStr">
        <is>
          <t xml:space="preserve">Öncelik</t>
        </is>
      </c>
      <c r="G1" s="1" t="inlineStr">
        <is>
          <t xml:space="preserve">Süre (dk)</t>
        </is>
      </c>
      <c r="H1" s="1" t="inlineStr">
        <is>
          <t xml:space="preserve">Görev</t>
        </is>
      </c>
      <c r="I1" s="1" t="inlineStr">
        <is>
          <t xml:space="preserve">Materyal / Slayt</t>
        </is>
      </c>
      <c r="J1" s="1" t="inlineStr">
        <is>
          <t xml:space="preserve">Durum</t>
        </is>
      </c>
      <c r="K1" s="1" t="inlineStr">
        <is>
          <t xml:space="preserve">Not</t>
        </is>
      </c>
      <c r="L1" s="1" t="inlineStr">
        <is>
          <t xml:space="preserve">Kritik</t>
        </is>
      </c>
    </row>
    <row r="2">
      <c r="A2" s="2" t="inlineStr">
        <is>
          <t xml:space="preserve">2026-10-30-01</t>
        </is>
      </c>
      <c r="B2" s="4">
        <v>46325</v>
      </c>
      <c r="C2" s="3" t="inlineStr">
        <is>
          <t xml:space="preserve">Cuma</t>
        </is>
      </c>
      <c r="D2" s="3" t="inlineStr">
        <is>
          <t xml:space="preserve">GENEL</t>
        </is>
      </c>
      <c r="E2" s="3" t="inlineStr">
        <is>
          <t xml:space="preserve">Min</t>
        </is>
      </c>
      <c r="F2" s="3" t="inlineStr">
        <is>
          <t xml:space="preserve">P1</t>
        </is>
      </c>
      <c r="G2" s="6">
        <v>25</v>
      </c>
      <c r="H2" s="2" t="inlineStr">
        <is>
          <t xml:space="preserve">Doğrulama paketi — (1) BIO110 midterm 1 kapsamı (hangi bölümler); (2) CMPE327 (15 Kas) ve CMPE421 (20 Kas) vize kapsamları; (3) CMPE453 vize kapsamı; (4) CMPE371 HW1 teslim günü; (5) CMPE327 Quiz-1 (syllabus W5) yapıldı mı. ▸ Sonuçları Exam Countdown sayfasına/plana not et; tarih değişirse REPLAN_GUIDE'a göre güncelle</t>
        </is>
      </c>
      <c r="I2" s="2"/>
      <c r="J2" s="7" t="inlineStr">
        <is>
          <t xml:space="preserve">Not Started</t>
        </is>
      </c>
      <c r="K2" s="7"/>
      <c r="L2" s="3"/>
    </row>
    <row r="3">
      <c r="A3" s="2" t="inlineStr">
        <is>
          <t xml:space="preserve">2026-10-30-02</t>
        </is>
      </c>
      <c r="B3" s="4">
        <v>46325</v>
      </c>
      <c r="C3" s="3" t="inlineStr">
        <is>
          <t xml:space="preserve">Cuma</t>
        </is>
      </c>
      <c r="D3" s="3" t="inlineStr">
        <is>
          <t xml:space="preserve">BIO110</t>
        </is>
      </c>
      <c r="E3" s="3" t="inlineStr">
        <is>
          <t xml:space="preserve">Min</t>
        </is>
      </c>
      <c r="F3" s="3" t="inlineStr">
        <is>
          <t xml:space="preserve">P1</t>
        </is>
      </c>
      <c r="G3" s="6">
        <v>75</v>
      </c>
      <c r="H3" s="2" t="inlineStr">
        <is>
          <t xml:space="preserve">The Chemical Context of Life — atom, element, izotop, elektron kabukları, kovalent/iyonik/hidrojen bağı, kimyasal reaksiyon ve denge. ▸ 15 kavram sorusu + 10 flashcard (bağ türleri tablosu)</t>
        </is>
      </c>
      <c r="I3" s="2" t="inlineStr">
        <is>
          <t xml:space="preserve">Campbell Biology (ilgili bölüm; baskıya göre numara değişir) + hoca slaytı — Materyal bekleniyor</t>
        </is>
      </c>
      <c r="J3" s="7" t="inlineStr">
        <is>
          <t xml:space="preserve">Not Started</t>
        </is>
      </c>
      <c r="K3" s="7"/>
      <c r="L3" s="3"/>
    </row>
    <row r="4">
      <c r="A4" s="2" t="inlineStr">
        <is>
          <t xml:space="preserve">2026-10-30-03</t>
        </is>
      </c>
      <c r="B4" s="4">
        <v>46325</v>
      </c>
      <c r="C4" s="3" t="inlineStr">
        <is>
          <t xml:space="preserve">Cuma</t>
        </is>
      </c>
      <c r="D4" s="3" t="inlineStr">
        <is>
          <t xml:space="preserve">BIO110</t>
        </is>
      </c>
      <c r="E4" s="3" t="inlineStr">
        <is>
          <t xml:space="preserve">Min</t>
        </is>
      </c>
      <c r="F4" s="3" t="inlineStr">
        <is>
          <t xml:space="preserve">P1</t>
        </is>
      </c>
      <c r="G4" s="6">
        <v>70</v>
      </c>
      <c r="H4" s="2" t="inlineStr">
        <is>
          <t xml:space="preserve">Water and Life — suyun polaritesi, H-bağı, kohezyon/adezyon, özgül ısı, çözücülük, pH ve tampon. ▸ 15 kavram sorusu + özellik→örnek tablosu + 10 flashcard</t>
        </is>
      </c>
      <c r="I4" s="2" t="inlineStr">
        <is>
          <t xml:space="preserve">Campbell Biology (ilgili bölüm; baskıya göre numara değişir) + hoca slaytı — Materyal bekleniyor</t>
        </is>
      </c>
      <c r="J4" s="7" t="inlineStr">
        <is>
          <t xml:space="preserve">Not Started</t>
        </is>
      </c>
      <c r="K4" s="7"/>
      <c r="L4" s="3"/>
    </row>
    <row r="5">
      <c r="A5" s="2" t="inlineStr">
        <is>
          <t xml:space="preserve">2026-10-30-04</t>
        </is>
      </c>
      <c r="B5" s="4">
        <v>46325</v>
      </c>
      <c r="C5" s="3" t="inlineStr">
        <is>
          <t xml:space="preserve">Cuma</t>
        </is>
      </c>
      <c r="D5" s="3" t="inlineStr">
        <is>
          <t xml:space="preserve">BIO110</t>
        </is>
      </c>
      <c r="E5" s="3" t="inlineStr">
        <is>
          <t xml:space="preserve">Min</t>
        </is>
      </c>
      <c r="F5" s="3" t="inlineStr">
        <is>
          <t xml:space="preserve">P1</t>
        </is>
      </c>
      <c r="G5" s="6">
        <v>60</v>
      </c>
      <c r="H5" s="2" t="inlineStr">
        <is>
          <t xml:space="preserve">Carbon and Molecular Diversity — karbon iskeleti, hidrokarbonlar, izomer türleri, 7 fonksiyonel grup. ▸ Fonksiyonel grup kartları (7) + 12 izomer/grup sorusu</t>
        </is>
      </c>
      <c r="I5" s="2" t="inlineStr">
        <is>
          <t xml:space="preserve">Campbell Biology (ilgili bölüm; baskıya göre numara değişir) + hoca slaytı — Materyal bekleniyor</t>
        </is>
      </c>
      <c r="J5" s="7" t="inlineStr">
        <is>
          <t xml:space="preserve">Not Started</t>
        </is>
      </c>
      <c r="K5" s="7"/>
      <c r="L5" s="3"/>
    </row>
    <row r="6">
      <c r="A6" s="2" t="inlineStr">
        <is>
          <t xml:space="preserve">2026-10-30-05</t>
        </is>
      </c>
      <c r="B6" s="4">
        <v>46325</v>
      </c>
      <c r="C6" s="3" t="inlineStr">
        <is>
          <t xml:space="preserve">Cuma</t>
        </is>
      </c>
      <c r="D6" s="3" t="inlineStr">
        <is>
          <t xml:space="preserve">CMPE371</t>
        </is>
      </c>
      <c r="E6" s="3" t="inlineStr">
        <is>
          <t xml:space="preserve">Min</t>
        </is>
      </c>
      <c r="F6" s="3" t="inlineStr">
        <is>
          <t xml:space="preserve">P2</t>
        </is>
      </c>
      <c r="G6" s="6">
        <v>40</v>
      </c>
      <c r="H6" s="2" t="inlineStr">
        <is>
          <t xml:space="preserve">Önkoşul: karmaşık sayılar ve Euler — a+jb, kutupsal gösterim, |z|, ∠z, e^{jθ}=cosθ+j sinθ, çarpma/bölme. ▸ 8 temel problem (kutupsal↔kartezyen)</t>
        </is>
      </c>
      <c r="I6" s="2" t="inlineStr">
        <is>
          <t xml:space="preserve">Hoca slaytı + ders kitabı (syllabus'ta belirtilmemiş: Materyal bekleniyor) — Materyal bekleniyor</t>
        </is>
      </c>
      <c r="J6" s="7" t="inlineStr">
        <is>
          <t xml:space="preserve">Not Started</t>
        </is>
      </c>
      <c r="K6" s="7"/>
      <c r="L6" s="3"/>
    </row>
    <row r="7">
      <c r="A7" s="2" t="inlineStr">
        <is>
          <t xml:space="preserve">2026-10-30-06</t>
        </is>
      </c>
      <c r="B7" s="4">
        <v>46325</v>
      </c>
      <c r="C7" s="3" t="inlineStr">
        <is>
          <t xml:space="preserve">Cuma</t>
        </is>
      </c>
      <c r="D7" s="3" t="inlineStr">
        <is>
          <t xml:space="preserve">BIO110</t>
        </is>
      </c>
      <c r="E7" s="3" t="inlineStr">
        <is>
          <t xml:space="preserve">Ext</t>
        </is>
      </c>
      <c r="F7" s="3" t="inlineStr">
        <is>
          <t xml:space="preserve">P1</t>
        </is>
      </c>
      <c r="G7" s="6">
        <v>25</v>
      </c>
      <c r="H7" s="2" t="inlineStr">
        <is>
          <t xml:space="preserve">Hızlı hatırlama — B01–B02 kartları. ▸ 20 soru kapalı kitap</t>
        </is>
      </c>
      <c r="I7" s="2" t="inlineStr">
        <is>
          <t xml:space="preserve">Campbell Biology (ilgili bölüm; baskıya göre numara değişir) + hoca slaytı — Materyal bekleniyor</t>
        </is>
      </c>
      <c r="J7" s="7" t="inlineStr">
        <is>
          <t xml:space="preserve">Not Started</t>
        </is>
      </c>
      <c r="K7" s="7"/>
      <c r="L7" s="3"/>
    </row>
    <row r="8">
      <c r="A8" s="2" t="inlineStr">
        <is>
          <t xml:space="preserve">2026-10-30-07</t>
        </is>
      </c>
      <c r="B8" s="4">
        <v>46325</v>
      </c>
      <c r="C8" s="3" t="inlineStr">
        <is>
          <t xml:space="preserve">Cuma</t>
        </is>
      </c>
      <c r="D8" s="3" t="inlineStr">
        <is>
          <t xml:space="preserve">CMPE327</t>
        </is>
      </c>
      <c r="E8" s="3" t="inlineStr">
        <is>
          <t xml:space="preserve">Ext</t>
        </is>
      </c>
      <c r="F8" s="3" t="inlineStr">
        <is>
          <t xml:space="preserve">P3</t>
        </is>
      </c>
      <c r="G8" s="6">
        <v>80</v>
      </c>
      <c r="H8" s="2" t="inlineStr">
        <is>
          <t xml:space="preserve">Central concepts + mathematical preliminaries — alfabe, string, dil, işlemler; küme, ilişki, fonksiyon; tümevarım ve çelişki ile ispat. ▸ 6 dil tanımlama + 2 tümevarım ispatı</t>
        </is>
      </c>
      <c r="I8" s="2" t="inlineStr">
        <is>
          <t xml:space="preserve">Hoca slaytı + ders kitabı (syllabus'ta belirtilmemiş: Materyal bekleniyor) — Materyal bekleniyor</t>
        </is>
      </c>
      <c r="J8" s="7" t="inlineStr">
        <is>
          <t xml:space="preserve">Not Started</t>
        </is>
      </c>
      <c r="K8" s="7"/>
      <c r="L8" s="3"/>
    </row>
    <row r="9">
      <c r="A9" s="2" t="inlineStr">
        <is>
          <t xml:space="preserve">2026-10-31-01</t>
        </is>
      </c>
      <c r="B9" s="4">
        <v>46326</v>
      </c>
      <c r="C9" s="3" t="inlineStr">
        <is>
          <t xml:space="preserve">Cumartesi</t>
        </is>
      </c>
      <c r="D9" s="3" t="inlineStr">
        <is>
          <t xml:space="preserve">BIO110</t>
        </is>
      </c>
      <c r="E9" s="3" t="inlineStr">
        <is>
          <t xml:space="preserve">Min</t>
        </is>
      </c>
      <c r="F9" s="3" t="inlineStr">
        <is>
          <t xml:space="preserve">P1</t>
        </is>
      </c>
      <c r="G9" s="6">
        <v>70</v>
      </c>
      <c r="H9" s="2" t="inlineStr">
        <is>
          <t xml:space="preserve">Büyük moleküller I: karbonhidrat + lipid — monomer/polimer, dehidrasyon-hidroliz, glikozidik bağ, nişasta/glikojen/selüloz, yağ asidi, fosfolipid. ▸ Karşılaştırma tablosu + 15 soru</t>
        </is>
      </c>
      <c r="I9" s="2" t="inlineStr">
        <is>
          <t xml:space="preserve">Campbell Biology (ilgili bölüm; baskıya göre numara değişir) + hoca slaytı — Materyal bekleniyor</t>
        </is>
      </c>
      <c r="J9" s="7" t="inlineStr">
        <is>
          <t xml:space="preserve">Not Started</t>
        </is>
      </c>
      <c r="K9" s="7"/>
      <c r="L9" s="3"/>
    </row>
    <row r="10">
      <c r="A10" s="2" t="inlineStr">
        <is>
          <t xml:space="preserve">2026-10-31-02</t>
        </is>
      </c>
      <c r="B10" s="4">
        <v>46326</v>
      </c>
      <c r="C10" s="3" t="inlineStr">
        <is>
          <t xml:space="preserve">Cumartesi</t>
        </is>
      </c>
      <c r="D10" s="3" t="inlineStr">
        <is>
          <t xml:space="preserve">BIO110</t>
        </is>
      </c>
      <c r="E10" s="3" t="inlineStr">
        <is>
          <t xml:space="preserve">Min</t>
        </is>
      </c>
      <c r="F10" s="3" t="inlineStr">
        <is>
          <t xml:space="preserve">P1</t>
        </is>
      </c>
      <c r="G10" s="6">
        <v>80</v>
      </c>
      <c r="H10" s="2" t="inlineStr">
        <is>
          <t xml:space="preserve">Büyük moleküller II: protein + nükleik asit — amino asit, peptit bağı, 4 yapı düzeyi, denatürasyon, DNA/RNA yapısı. ▸ Protein yapı basamaklarını belleğten çiz + 15 soru</t>
        </is>
      </c>
      <c r="I10" s="2" t="inlineStr">
        <is>
          <t xml:space="preserve">Campbell Biology (ilgili bölüm; baskıya göre numara değişir) + hoca slaytı — Materyal bekleniyor</t>
        </is>
      </c>
      <c r="J10" s="7" t="inlineStr">
        <is>
          <t xml:space="preserve">Not Started</t>
        </is>
      </c>
      <c r="K10" s="7"/>
      <c r="L10" s="3"/>
    </row>
    <row r="11">
      <c r="A11" s="2" t="inlineStr">
        <is>
          <t xml:space="preserve">2026-10-31-03</t>
        </is>
      </c>
      <c r="B11" s="4">
        <v>46326</v>
      </c>
      <c r="C11" s="3" t="inlineStr">
        <is>
          <t xml:space="preserve">Cumartesi</t>
        </is>
      </c>
      <c r="D11" s="3" t="inlineStr">
        <is>
          <t xml:space="preserve">BIO110</t>
        </is>
      </c>
      <c r="E11" s="3" t="inlineStr">
        <is>
          <t xml:space="preserve">Min</t>
        </is>
      </c>
      <c r="F11" s="3" t="inlineStr">
        <is>
          <t xml:space="preserve">P1</t>
        </is>
      </c>
      <c r="G11" s="6">
        <v>70</v>
      </c>
      <c r="H11" s="2" t="inlineStr">
        <is>
          <t xml:space="preserve">Hücre turu I — prokaryot/ökaryot, çekirdek, ribozom, endomembran sistemi (ER, Golgi, lizozom, vakuol). ▸ Hücre şemasını boş çizip etiketle + 15 soru</t>
        </is>
      </c>
      <c r="I11" s="2" t="inlineStr">
        <is>
          <t xml:space="preserve">Campbell Biology (ilgili bölüm; baskıya göre numara değişir) + hoca slaytı — Materyal bekleniyor</t>
        </is>
      </c>
      <c r="J11" s="7" t="inlineStr">
        <is>
          <t xml:space="preserve">Not Started</t>
        </is>
      </c>
      <c r="K11" s="7"/>
      <c r="L11" s="3"/>
    </row>
    <row r="12">
      <c r="A12" s="2" t="inlineStr">
        <is>
          <t xml:space="preserve">2026-10-31-04</t>
        </is>
      </c>
      <c r="B12" s="4">
        <v>46326</v>
      </c>
      <c r="C12" s="3" t="inlineStr">
        <is>
          <t xml:space="preserve">Cumartesi</t>
        </is>
      </c>
      <c r="D12" s="3" t="inlineStr">
        <is>
          <t xml:space="preserve">CMPE371</t>
        </is>
      </c>
      <c r="E12" s="3" t="inlineStr">
        <is>
          <t xml:space="preserve">Ext</t>
        </is>
      </c>
      <c r="F12" s="3" t="inlineStr">
        <is>
          <t xml:space="preserve">P2</t>
        </is>
      </c>
      <c r="G12" s="6">
        <v>50</v>
      </c>
      <c r="H12" s="2" t="inlineStr">
        <is>
          <t xml:space="preserve">Önkoşul: trigonometri, üstel, türev/integral — sin/cos özdeşlikleri, e^x kuralları, temel türev ve belirli integral. ▸ 10 problem</t>
        </is>
      </c>
      <c r="I12" s="2" t="inlineStr">
        <is>
          <t xml:space="preserve">Hoca slaytı + ders kitabı (syllabus'ta belirtilmemiş: Materyal bekleniyor) — Materyal bekleniyor</t>
        </is>
      </c>
      <c r="J12" s="7" t="inlineStr">
        <is>
          <t xml:space="preserve">Not Started</t>
        </is>
      </c>
      <c r="K12" s="7"/>
      <c r="L12" s="3"/>
    </row>
    <row r="13">
      <c r="A13" s="2" t="inlineStr">
        <is>
          <t xml:space="preserve">2026-10-31-05</t>
        </is>
      </c>
      <c r="B13" s="4">
        <v>46326</v>
      </c>
      <c r="C13" s="3" t="inlineStr">
        <is>
          <t xml:space="preserve">Cumartesi</t>
        </is>
      </c>
      <c r="D13" s="3" t="inlineStr">
        <is>
          <t xml:space="preserve">CMPE327</t>
        </is>
      </c>
      <c r="E13" s="3" t="inlineStr">
        <is>
          <t xml:space="preserve">Ext</t>
        </is>
      </c>
      <c r="F13" s="3" t="inlineStr">
        <is>
          <t xml:space="preserve">P3</t>
        </is>
      </c>
      <c r="G13" s="6">
        <v>80</v>
      </c>
      <c r="H13" s="2" t="inlineStr">
        <is>
          <t xml:space="preserve">DFA — tanım (5'li), geçiş tablosu/diyagramı, dil tanıma, tasarım. ▸ 8 DFA çiz (son iki sembol, mod sayma, alt dize)</t>
        </is>
      </c>
      <c r="I13" s="2" t="inlineStr">
        <is>
          <t xml:space="preserve">Hoca slaytı + ders kitabı (syllabus'ta belirtilmemiş: Materyal bekleniyor) — Materyal bekleniyor</t>
        </is>
      </c>
      <c r="J13" s="7" t="inlineStr">
        <is>
          <t xml:space="preserve">Not Started</t>
        </is>
      </c>
      <c r="K13" s="7"/>
      <c r="L13" s="3"/>
    </row>
    <row r="14">
      <c r="A14" s="2" t="inlineStr">
        <is>
          <t xml:space="preserve">2026-10-31-06</t>
        </is>
      </c>
      <c r="B14" s="4">
        <v>46326</v>
      </c>
      <c r="C14" s="3" t="inlineStr">
        <is>
          <t xml:space="preserve">Cumartesi</t>
        </is>
      </c>
      <c r="D14" s="3" t="inlineStr">
        <is>
          <t xml:space="preserve">CMPE327</t>
        </is>
      </c>
      <c r="E14" s="3" t="inlineStr">
        <is>
          <t xml:space="preserve">Min</t>
        </is>
      </c>
      <c r="F14" s="3" t="inlineStr">
        <is>
          <t xml:space="preserve">P3</t>
        </is>
      </c>
      <c r="G14" s="6">
        <v>8</v>
      </c>
      <c r="H14" s="2" t="inlineStr">
        <is>
          <t xml:space="preserve">Tekrar (kapalı kitap aktif hatırlama, konu başına ~8 dk): Central concepts + mathematical preliminaries (D+1)</t>
        </is>
      </c>
      <c r="I14" s="2"/>
      <c r="J14" s="7" t="inlineStr">
        <is>
          <t xml:space="preserve">Not Started</t>
        </is>
      </c>
      <c r="K14" s="7"/>
      <c r="L14" s="3"/>
    </row>
    <row r="15">
      <c r="A15" s="2" t="inlineStr">
        <is>
          <t xml:space="preserve">2026-10-31-07</t>
        </is>
      </c>
      <c r="B15" s="4">
        <v>46326</v>
      </c>
      <c r="C15" s="3" t="inlineStr">
        <is>
          <t xml:space="preserve">Cumartesi</t>
        </is>
      </c>
      <c r="D15" s="3" t="inlineStr">
        <is>
          <t xml:space="preserve">BIO110</t>
        </is>
      </c>
      <c r="E15" s="3" t="inlineStr">
        <is>
          <t xml:space="preserve">Min</t>
        </is>
      </c>
      <c r="F15" s="3" t="inlineStr">
        <is>
          <t xml:space="preserve">P2</t>
        </is>
      </c>
      <c r="G15" s="6">
        <v>24</v>
      </c>
      <c r="H15" s="2" t="inlineStr">
        <is>
          <t xml:space="preserve">Tekrar (kapalı kitap aktif hatırlama, konu başına ~8 dk): The Chemical Context of Life (D+1); Water and Life (D+1); Carbon and Molecular Diversity (D+1)</t>
        </is>
      </c>
      <c r="I15" s="2"/>
      <c r="J15" s="7" t="inlineStr">
        <is>
          <t xml:space="preserve">Not Started</t>
        </is>
      </c>
      <c r="K15" s="7"/>
      <c r="L15" s="3"/>
    </row>
    <row r="16">
      <c r="A16" s="2" t="inlineStr">
        <is>
          <t xml:space="preserve">2026-10-31-08</t>
        </is>
      </c>
      <c r="B16" s="4">
        <v>46326</v>
      </c>
      <c r="C16" s="3" t="inlineStr">
        <is>
          <t xml:space="preserve">Cumartesi</t>
        </is>
      </c>
      <c r="D16" s="3" t="inlineStr">
        <is>
          <t xml:space="preserve">CMPE371</t>
        </is>
      </c>
      <c r="E16" s="3" t="inlineStr">
        <is>
          <t xml:space="preserve">Min</t>
        </is>
      </c>
      <c r="F16" s="3" t="inlineStr">
        <is>
          <t xml:space="preserve">P3</t>
        </is>
      </c>
      <c r="G16" s="6">
        <v>8</v>
      </c>
      <c r="H16" s="2" t="inlineStr">
        <is>
          <t xml:space="preserve">Tekrar (kapalı kitap aktif hatırlama, konu başına ~8 dk): Önkoşul: karmaşık sayılar ve Euler (D+1)</t>
        </is>
      </c>
      <c r="I16" s="2"/>
      <c r="J16" s="7" t="inlineStr">
        <is>
          <t xml:space="preserve">Not Started</t>
        </is>
      </c>
      <c r="K16" s="7"/>
      <c r="L16" s="3"/>
    </row>
    <row r="17">
      <c r="A17" s="2" t="inlineStr">
        <is>
          <t xml:space="preserve">2026-11-01-01</t>
        </is>
      </c>
      <c r="B17" s="4">
        <v>46327</v>
      </c>
      <c r="C17" s="3" t="inlineStr">
        <is>
          <t xml:space="preserve">Pazar</t>
        </is>
      </c>
      <c r="D17" s="3" t="inlineStr">
        <is>
          <t xml:space="preserve">BIO110</t>
        </is>
      </c>
      <c r="E17" s="3" t="inlineStr">
        <is>
          <t xml:space="preserve">Min</t>
        </is>
      </c>
      <c r="F17" s="3" t="inlineStr">
        <is>
          <t xml:space="preserve">P1</t>
        </is>
      </c>
      <c r="G17" s="6">
        <v>60</v>
      </c>
      <c r="H17" s="2" t="inlineStr">
        <is>
          <t xml:space="preserve">Hücre turu II — mitokondri, kloroplast, sitoiskelet, hücre dışı matriks, hücre bağlantıları. ▸ Organel → görev tablosu + 12 soru</t>
        </is>
      </c>
      <c r="I17" s="2" t="inlineStr">
        <is>
          <t xml:space="preserve">Campbell Biology (ilgili bölüm; baskıya göre numara değişir) + hoca slaytı — Materyal bekleniyor</t>
        </is>
      </c>
      <c r="J17" s="7" t="inlineStr">
        <is>
          <t xml:space="preserve">Not Started</t>
        </is>
      </c>
      <c r="K17" s="7"/>
      <c r="L17" s="3"/>
    </row>
    <row r="18">
      <c r="A18" s="2" t="inlineStr">
        <is>
          <t xml:space="preserve">2026-11-01-02</t>
        </is>
      </c>
      <c r="B18" s="4">
        <v>46327</v>
      </c>
      <c r="C18" s="3" t="inlineStr">
        <is>
          <t xml:space="preserve">Pazar</t>
        </is>
      </c>
      <c r="D18" s="3" t="inlineStr">
        <is>
          <t xml:space="preserve">BIO110</t>
        </is>
      </c>
      <c r="E18" s="3" t="inlineStr">
        <is>
          <t xml:space="preserve">Min</t>
        </is>
      </c>
      <c r="F18" s="3" t="inlineStr">
        <is>
          <t xml:space="preserve">P1</t>
        </is>
      </c>
      <c r="G18" s="6">
        <v>80</v>
      </c>
      <c r="H18" s="2" t="inlineStr">
        <is>
          <t xml:space="preserve">Membrane Structure and Function — akışkan mozaik model, seçici geçirgenlik, difüzyon/ozmoz, tonisite, aktif taşıma, kotransport. ▸ Ozmoz/tonisite 6 senaryo + 15 soru</t>
        </is>
      </c>
      <c r="I18" s="2" t="inlineStr">
        <is>
          <t xml:space="preserve">Campbell Biology (ilgili bölüm; baskıya göre numara değişir) + hoca slaytı — Materyal bekleniyor</t>
        </is>
      </c>
      <c r="J18" s="7" t="inlineStr">
        <is>
          <t xml:space="preserve">Not Started</t>
        </is>
      </c>
      <c r="K18" s="7"/>
      <c r="L18" s="3"/>
    </row>
    <row r="19">
      <c r="A19" s="2" t="inlineStr">
        <is>
          <t xml:space="preserve">2026-11-01-03</t>
        </is>
      </c>
      <c r="B19" s="4">
        <v>46327</v>
      </c>
      <c r="C19" s="3" t="inlineStr">
        <is>
          <t xml:space="preserve">Pazar</t>
        </is>
      </c>
      <c r="D19" s="3" t="inlineStr">
        <is>
          <t xml:space="preserve">BIO110</t>
        </is>
      </c>
      <c r="E19" s="3" t="inlineStr">
        <is>
          <t xml:space="preserve">Min</t>
        </is>
      </c>
      <c r="F19" s="3" t="inlineStr">
        <is>
          <t xml:space="preserve">P1</t>
        </is>
      </c>
      <c r="G19" s="6">
        <v>80</v>
      </c>
      <c r="H19" s="2" t="inlineStr">
        <is>
          <t xml:space="preserve">An Introduction to Metabolism — enerji, termodinamik, ΔG, ATP döngüsü, enzimler, inhibisyon, regülasyon. ▸ Enzim grafiği yorumlama 5 soru + 15 soru</t>
        </is>
      </c>
      <c r="I19" s="2" t="inlineStr">
        <is>
          <t xml:space="preserve">Campbell Biology (ilgili bölüm; baskıya göre numara değişir) + hoca slaytı — Materyal bekleniyor</t>
        </is>
      </c>
      <c r="J19" s="7" t="inlineStr">
        <is>
          <t xml:space="preserve">Not Started</t>
        </is>
      </c>
      <c r="K19" s="7"/>
      <c r="L19" s="3"/>
    </row>
    <row r="20">
      <c r="A20" s="2" t="inlineStr">
        <is>
          <t xml:space="preserve">2026-11-01-04</t>
        </is>
      </c>
      <c r="B20" s="4">
        <v>46327</v>
      </c>
      <c r="C20" s="3" t="inlineStr">
        <is>
          <t xml:space="preserve">Pazar</t>
        </is>
      </c>
      <c r="D20" s="3" t="inlineStr">
        <is>
          <t xml:space="preserve">BIO110</t>
        </is>
      </c>
      <c r="E20" s="3" t="inlineStr">
        <is>
          <t xml:space="preserve">Min</t>
        </is>
      </c>
      <c r="F20" s="3" t="inlineStr">
        <is>
          <t xml:space="preserve">P1</t>
        </is>
      </c>
      <c r="G20" s="6">
        <v>110</v>
      </c>
      <c r="H20" s="2" t="inlineStr">
        <is>
          <t xml:space="preserve">Cellular Respiration — glikoliz, piruvat oksidasyonu, Krebs, ETZ/oksidatif fosforilasyon, fermentasyon; net ATP/NADH hesabı. ▸ Yolu bellekten çiz (girdi/çıktı tablosu) + 20 soru</t>
        </is>
      </c>
      <c r="I20" s="2" t="inlineStr">
        <is>
          <t xml:space="preserve">Campbell Biology (ilgili bölüm; baskıya göre numara değişir) + hoca slaytı — Materyal bekleniyor</t>
        </is>
      </c>
      <c r="J20" s="7" t="inlineStr">
        <is>
          <t xml:space="preserve">Not Started</t>
        </is>
      </c>
      <c r="K20" s="7"/>
      <c r="L20" s="3"/>
    </row>
    <row r="21">
      <c r="A21" s="2" t="inlineStr">
        <is>
          <t xml:space="preserve">2026-11-01-05</t>
        </is>
      </c>
      <c r="B21" s="4">
        <v>46327</v>
      </c>
      <c r="C21" s="3" t="inlineStr">
        <is>
          <t xml:space="preserve">Pazar</t>
        </is>
      </c>
      <c r="D21" s="3" t="inlineStr">
        <is>
          <t xml:space="preserve">BIO110</t>
        </is>
      </c>
      <c r="E21" s="3" t="inlineStr">
        <is>
          <t xml:space="preserve">Ext</t>
        </is>
      </c>
      <c r="F21" s="3" t="inlineStr">
        <is>
          <t xml:space="preserve">P1</t>
        </is>
      </c>
      <c r="G21" s="6">
        <v>60</v>
      </c>
      <c r="H21" s="2" t="inlineStr">
        <is>
          <t xml:space="preserve">Konu testi (B01–B08) — karma test. ▸ 40 soru + yanlış analizi</t>
        </is>
      </c>
      <c r="I21" s="2" t="inlineStr">
        <is>
          <t xml:space="preserve">Campbell Biology (ilgili bölüm; baskıya göre numara değişir) + hoca slaytı — Materyal bekleniyor</t>
        </is>
      </c>
      <c r="J21" s="7" t="inlineStr">
        <is>
          <t xml:space="preserve">Not Started</t>
        </is>
      </c>
      <c r="K21" s="7"/>
      <c r="L21" s="3"/>
    </row>
    <row r="22">
      <c r="A22" s="2" t="inlineStr">
        <is>
          <t xml:space="preserve">2026-11-01-06</t>
        </is>
      </c>
      <c r="B22" s="4">
        <v>46327</v>
      </c>
      <c r="C22" s="3" t="inlineStr">
        <is>
          <t xml:space="preserve">Pazar</t>
        </is>
      </c>
      <c r="D22" s="3" t="inlineStr">
        <is>
          <t xml:space="preserve">CMPE371</t>
        </is>
      </c>
      <c r="E22" s="3" t="inlineStr">
        <is>
          <t xml:space="preserve">Ext</t>
        </is>
      </c>
      <c r="F22" s="3" t="inlineStr">
        <is>
          <t xml:space="preserve">P2</t>
        </is>
      </c>
      <c r="G22" s="6">
        <v>70</v>
      </c>
      <c r="H22" s="2" t="inlineStr">
        <is>
          <t xml:space="preserve">Introduction to Signals and Systems — sürekli/ayrık sinyal, enerji/güç, zaman kaydırma-ölçekleme-ters çevirme, sistem kavramı. ▸ 8 temel + 5 orta sinyal dönüşüm problemi</t>
        </is>
      </c>
      <c r="I22" s="2" t="inlineStr">
        <is>
          <t xml:space="preserve">Hoca slaytı + ders kitabı (syllabus'ta belirtilmemiş: Materyal bekleniyor) — Materyal bekleniyor</t>
        </is>
      </c>
      <c r="J22" s="7" t="inlineStr">
        <is>
          <t xml:space="preserve">Not Started</t>
        </is>
      </c>
      <c r="K22" s="7"/>
      <c r="L22" s="3"/>
    </row>
    <row r="23">
      <c r="A23" s="2" t="inlineStr">
        <is>
          <t xml:space="preserve">2026-11-01-07</t>
        </is>
      </c>
      <c r="B23" s="4">
        <v>46327</v>
      </c>
      <c r="C23" s="3" t="inlineStr">
        <is>
          <t xml:space="preserve">Pazar</t>
        </is>
      </c>
      <c r="D23" s="3" t="inlineStr">
        <is>
          <t xml:space="preserve">CMPE327</t>
        </is>
      </c>
      <c r="E23" s="3" t="inlineStr">
        <is>
          <t xml:space="preserve">Min</t>
        </is>
      </c>
      <c r="F23" s="3" t="inlineStr">
        <is>
          <t xml:space="preserve">P3</t>
        </is>
      </c>
      <c r="G23" s="6">
        <v>8</v>
      </c>
      <c r="H23" s="2" t="inlineStr">
        <is>
          <t xml:space="preserve">Tekrar (kapalı kitap aktif hatırlama, konu başına ~8 dk): DFA (D+1)</t>
        </is>
      </c>
      <c r="I23" s="2"/>
      <c r="J23" s="7" t="inlineStr">
        <is>
          <t xml:space="preserve">Not Started</t>
        </is>
      </c>
      <c r="K23" s="7"/>
      <c r="L23" s="3"/>
    </row>
    <row r="24">
      <c r="A24" s="2" t="inlineStr">
        <is>
          <t xml:space="preserve">2026-11-01-08</t>
        </is>
      </c>
      <c r="B24" s="4">
        <v>46327</v>
      </c>
      <c r="C24" s="3" t="inlineStr">
        <is>
          <t xml:space="preserve">Pazar</t>
        </is>
      </c>
      <c r="D24" s="3" t="inlineStr">
        <is>
          <t xml:space="preserve">BIO110</t>
        </is>
      </c>
      <c r="E24" s="3" t="inlineStr">
        <is>
          <t xml:space="preserve">Min</t>
        </is>
      </c>
      <c r="F24" s="3" t="inlineStr">
        <is>
          <t xml:space="preserve">P2</t>
        </is>
      </c>
      <c r="G24" s="6">
        <v>24</v>
      </c>
      <c r="H24" s="2" t="inlineStr">
        <is>
          <t xml:space="preserve">Tekrar (kapalı kitap aktif hatırlama, konu başına ~8 dk): Büyük moleküller I: karbonhidrat + lipid (D+1); Büyük moleküller II: protein + nükleik asit (D+1); Hücre turu I (D+1)</t>
        </is>
      </c>
      <c r="I24" s="2"/>
      <c r="J24" s="7" t="inlineStr">
        <is>
          <t xml:space="preserve">Not Started</t>
        </is>
      </c>
      <c r="K24" s="7"/>
      <c r="L24" s="3"/>
    </row>
    <row r="25">
      <c r="A25" s="2" t="inlineStr">
        <is>
          <t xml:space="preserve">2026-11-01-09</t>
        </is>
      </c>
      <c r="B25" s="4">
        <v>46327</v>
      </c>
      <c r="C25" s="3" t="inlineStr">
        <is>
          <t xml:space="preserve">Pazar</t>
        </is>
      </c>
      <c r="D25" s="3" t="inlineStr">
        <is>
          <t xml:space="preserve">CMPE371</t>
        </is>
      </c>
      <c r="E25" s="3" t="inlineStr">
        <is>
          <t xml:space="preserve">Min</t>
        </is>
      </c>
      <c r="F25" s="3" t="inlineStr">
        <is>
          <t xml:space="preserve">P3</t>
        </is>
      </c>
      <c r="G25" s="6">
        <v>8</v>
      </c>
      <c r="H25" s="2" t="inlineStr">
        <is>
          <t xml:space="preserve">Tekrar (kapalı kitap aktif hatırlama, konu başına ~8 dk): Önkoşul: trigonometri, üstel, türev/integral (D+1)</t>
        </is>
      </c>
      <c r="I25" s="2"/>
      <c r="J25" s="7" t="inlineStr">
        <is>
          <t xml:space="preserve">Not Started</t>
        </is>
      </c>
      <c r="K25" s="7"/>
      <c r="L25" s="3"/>
    </row>
    <row r="26">
      <c r="A26" s="2" t="inlineStr">
        <is>
          <t xml:space="preserve">2026-11-02-01</t>
        </is>
      </c>
      <c r="B26" s="4">
        <v>46328</v>
      </c>
      <c r="C26" s="3" t="inlineStr">
        <is>
          <t xml:space="preserve">Pazartesi</t>
        </is>
      </c>
      <c r="D26" s="3" t="inlineStr">
        <is>
          <t xml:space="preserve">BIO110</t>
        </is>
      </c>
      <c r="E26" s="3" t="inlineStr">
        <is>
          <t xml:space="preserve">Min</t>
        </is>
      </c>
      <c r="F26" s="3" t="inlineStr">
        <is>
          <t xml:space="preserve">P1</t>
        </is>
      </c>
      <c r="G26" s="6">
        <v>90</v>
      </c>
      <c r="H26" s="2" t="inlineStr">
        <is>
          <t xml:space="preserve">Photosynthesis — ışık reaksiyonları, Calvin döngüsü, C3/C4/CAM, solunumla karşılaştırma. ▸ Kloroplast şeması + solunum–fotosentez karşılaştırma tablosu + 15 soru</t>
        </is>
      </c>
      <c r="I26" s="2" t="inlineStr">
        <is>
          <t xml:space="preserve">Campbell Biology (ilgili bölüm; baskıya göre numara değişir) + hoca slaytı — Materyal bekleniyor</t>
        </is>
      </c>
      <c r="J26" s="7" t="inlineStr">
        <is>
          <t xml:space="preserve">Not Started</t>
        </is>
      </c>
      <c r="K26" s="7"/>
      <c r="L26" s="3"/>
    </row>
    <row r="27">
      <c r="A27" s="2" t="inlineStr">
        <is>
          <t xml:space="preserve">2026-11-02-02</t>
        </is>
      </c>
      <c r="B27" s="4">
        <v>46328</v>
      </c>
      <c r="C27" s="3" t="inlineStr">
        <is>
          <t xml:space="preserve">Pazartesi</t>
        </is>
      </c>
      <c r="D27" s="3" t="inlineStr">
        <is>
          <t xml:space="preserve">BIO110</t>
        </is>
      </c>
      <c r="E27" s="3" t="inlineStr">
        <is>
          <t xml:space="preserve">Min</t>
        </is>
      </c>
      <c r="F27" s="3" t="inlineStr">
        <is>
          <t xml:space="preserve">P1</t>
        </is>
      </c>
      <c r="G27" s="6">
        <v>60</v>
      </c>
      <c r="H27" s="2" t="inlineStr">
        <is>
          <t xml:space="preserve">Karma deneme 1 (B01–B09) — tam kapsam deneme. ▸ 50 soru, sınav hızında</t>
        </is>
      </c>
      <c r="I27" s="2" t="inlineStr">
        <is>
          <t xml:space="preserve">Campbell Biology (ilgili bölüm; baskıya göre numara değişir) + hoca slaytı — Materyal bekleniyor</t>
        </is>
      </c>
      <c r="J27" s="7" t="inlineStr">
        <is>
          <t xml:space="preserve">Not Started</t>
        </is>
      </c>
      <c r="K27" s="7"/>
      <c r="L27" s="3"/>
    </row>
    <row r="28">
      <c r="A28" s="2" t="inlineStr">
        <is>
          <t xml:space="preserve">2026-11-02-03</t>
        </is>
      </c>
      <c r="B28" s="4">
        <v>46328</v>
      </c>
      <c r="C28" s="3" t="inlineStr">
        <is>
          <t xml:space="preserve">Pazartesi</t>
        </is>
      </c>
      <c r="D28" s="3" t="inlineStr">
        <is>
          <t xml:space="preserve">BIO110</t>
        </is>
      </c>
      <c r="E28" s="3" t="inlineStr">
        <is>
          <t xml:space="preserve">Min</t>
        </is>
      </c>
      <c r="F28" s="3" t="inlineStr">
        <is>
          <t xml:space="preserve">P1</t>
        </is>
      </c>
      <c r="G28" s="6">
        <v>40</v>
      </c>
      <c r="H28" s="2" t="inlineStr">
        <is>
          <t xml:space="preserve">Deneme yanlış analizi — her yanlış için sebep: bilgi/kavram/dikkat. ▸ Yanlış konuları 15'er dk yeniden çalış</t>
        </is>
      </c>
      <c r="I28" s="2" t="inlineStr">
        <is>
          <t xml:space="preserve">Campbell Biology (ilgili bölüm; baskıya göre numara değişir) + hoca slaytı — Materyal bekleniyor</t>
        </is>
      </c>
      <c r="J28" s="7" t="inlineStr">
        <is>
          <t xml:space="preserve">Not Started</t>
        </is>
      </c>
      <c r="K28" s="7"/>
      <c r="L28" s="3"/>
    </row>
    <row r="29">
      <c r="A29" s="2" t="inlineStr">
        <is>
          <t xml:space="preserve">2026-11-02-04</t>
        </is>
      </c>
      <c r="B29" s="4">
        <v>46328</v>
      </c>
      <c r="C29" s="3" t="inlineStr">
        <is>
          <t xml:space="preserve">Pazartesi</t>
        </is>
      </c>
      <c r="D29" s="3" t="inlineStr">
        <is>
          <t xml:space="preserve">BIO110</t>
        </is>
      </c>
      <c r="E29" s="3" t="inlineStr">
        <is>
          <t xml:space="preserve">Ext</t>
        </is>
      </c>
      <c r="F29" s="3" t="inlineStr">
        <is>
          <t xml:space="preserve">P1</t>
        </is>
      </c>
      <c r="G29" s="6">
        <v>40</v>
      </c>
      <c r="H29" s="2" t="inlineStr">
        <is>
          <t xml:space="preserve">Şema ve tablo seti — solunum, fotosentez, membran, hücre şemaları. ▸ Boş kağıda 6 şemayı belleğten çiz</t>
        </is>
      </c>
      <c r="I29" s="2" t="inlineStr">
        <is>
          <t xml:space="preserve">Campbell Biology (ilgili bölüm; baskıya göre numara değişir) + hoca slaytı — Materyal bekleniyor</t>
        </is>
      </c>
      <c r="J29" s="7" t="inlineStr">
        <is>
          <t xml:space="preserve">Not Started</t>
        </is>
      </c>
      <c r="K29" s="7"/>
      <c r="L29" s="3"/>
    </row>
    <row r="30">
      <c r="A30" s="2" t="inlineStr">
        <is>
          <t xml:space="preserve">2026-11-02-05</t>
        </is>
      </c>
      <c r="B30" s="4">
        <v>46328</v>
      </c>
      <c r="C30" s="3" t="inlineStr">
        <is>
          <t xml:space="preserve">Pazartesi</t>
        </is>
      </c>
      <c r="D30" s="3" t="inlineStr">
        <is>
          <t xml:space="preserve">CMPE371</t>
        </is>
      </c>
      <c r="E30" s="3" t="inlineStr">
        <is>
          <t xml:space="preserve">Ext</t>
        </is>
      </c>
      <c r="F30" s="3" t="inlineStr">
        <is>
          <t xml:space="preserve">P2</t>
        </is>
      </c>
      <c r="G30" s="6">
        <v>70</v>
      </c>
      <c r="H30" s="2" t="inlineStr">
        <is>
          <t xml:space="preserve">Sinusoids — genlik, frekans, faz, periyot, fazör gösterimi, sinüzoid toplamı. ▸ 8 temel + 5 orta problem, yanlış analizi</t>
        </is>
      </c>
      <c r="I30" s="2" t="inlineStr">
        <is>
          <t xml:space="preserve">Hoca slaytı + ders kitabı (syllabus'ta belirtilmemiş: Materyal bekleniyor) — Materyal bekleniyor</t>
        </is>
      </c>
      <c r="J30" s="7" t="inlineStr">
        <is>
          <t xml:space="preserve">Not Started</t>
        </is>
      </c>
      <c r="K30" s="7"/>
      <c r="L30" s="3"/>
    </row>
    <row r="31">
      <c r="A31" s="2" t="inlineStr">
        <is>
          <t xml:space="preserve">2026-11-02-06</t>
        </is>
      </c>
      <c r="B31" s="4">
        <v>46328</v>
      </c>
      <c r="C31" s="3" t="inlineStr">
        <is>
          <t xml:space="preserve">Pazartesi</t>
        </is>
      </c>
      <c r="D31" s="3" t="inlineStr">
        <is>
          <t xml:space="preserve">BIO110</t>
        </is>
      </c>
      <c r="E31" s="3" t="inlineStr">
        <is>
          <t xml:space="preserve">Min</t>
        </is>
      </c>
      <c r="F31" s="3" t="inlineStr">
        <is>
          <t xml:space="preserve">P2</t>
        </is>
      </c>
      <c r="G31" s="6">
        <v>56</v>
      </c>
      <c r="H31" s="2" t="inlineStr">
        <is>
          <t xml:space="preserve">Tekrar (kapalı kitap aktif hatırlama, konu başına ~8 dk): Hücre turu II (D+1); Membrane Structure and Function (D+1); An Introduction to Metabolism (D+1); Cellular Respiration (D+1); The Chemical Context of Life (D+3); Water and Life (D+3); Carbon and Molecular Diversity (D+3)</t>
        </is>
      </c>
      <c r="I31" s="2"/>
      <c r="J31" s="7" t="inlineStr">
        <is>
          <t xml:space="preserve">Not Started</t>
        </is>
      </c>
      <c r="K31" s="7"/>
      <c r="L31" s="3"/>
    </row>
    <row r="32">
      <c r="A32" s="2" t="inlineStr">
        <is>
          <t xml:space="preserve">2026-11-02-07</t>
        </is>
      </c>
      <c r="B32" s="4">
        <v>46328</v>
      </c>
      <c r="C32" s="3" t="inlineStr">
        <is>
          <t xml:space="preserve">Pazartesi</t>
        </is>
      </c>
      <c r="D32" s="3" t="inlineStr">
        <is>
          <t xml:space="preserve">CMPE371</t>
        </is>
      </c>
      <c r="E32" s="3" t="inlineStr">
        <is>
          <t xml:space="preserve">Min</t>
        </is>
      </c>
      <c r="F32" s="3" t="inlineStr">
        <is>
          <t xml:space="preserve">P3</t>
        </is>
      </c>
      <c r="G32" s="6">
        <v>16</v>
      </c>
      <c r="H32" s="2" t="inlineStr">
        <is>
          <t xml:space="preserve">Tekrar (kapalı kitap aktif hatırlama, konu başına ~8 dk): Introduction to Signals and Systems (D+1); Önkoşul: karmaşık sayılar ve Euler (D+3)</t>
        </is>
      </c>
      <c r="I32" s="2"/>
      <c r="J32" s="7" t="inlineStr">
        <is>
          <t xml:space="preserve">Not Started</t>
        </is>
      </c>
      <c r="K32" s="7"/>
      <c r="L32" s="3"/>
    </row>
    <row r="33">
      <c r="A33" s="2" t="inlineStr">
        <is>
          <t xml:space="preserve">2026-11-02-08</t>
        </is>
      </c>
      <c r="B33" s="4">
        <v>46328</v>
      </c>
      <c r="C33" s="3" t="inlineStr">
        <is>
          <t xml:space="preserve">Pazartesi</t>
        </is>
      </c>
      <c r="D33" s="3" t="inlineStr">
        <is>
          <t xml:space="preserve">CMPE327</t>
        </is>
      </c>
      <c r="E33" s="3" t="inlineStr">
        <is>
          <t xml:space="preserve">Min</t>
        </is>
      </c>
      <c r="F33" s="3" t="inlineStr">
        <is>
          <t xml:space="preserve">P3</t>
        </is>
      </c>
      <c r="G33" s="6">
        <v>8</v>
      </c>
      <c r="H33" s="2" t="inlineStr">
        <is>
          <t xml:space="preserve">Tekrar (kapalı kitap aktif hatırlama, konu başına ~8 dk): Central concepts + mathematical preliminaries (D+3)</t>
        </is>
      </c>
      <c r="I33" s="2"/>
      <c r="J33" s="7" t="inlineStr">
        <is>
          <t xml:space="preserve">Not Started</t>
        </is>
      </c>
      <c r="K33" s="7"/>
      <c r="L33" s="3"/>
    </row>
    <row r="34">
      <c r="A34" s="2" t="inlineStr">
        <is>
          <t xml:space="preserve">2026-11-03-01</t>
        </is>
      </c>
      <c r="B34" s="4">
        <v>46329</v>
      </c>
      <c r="C34" s="3" t="inlineStr">
        <is>
          <t xml:space="preserve">Salı</t>
        </is>
      </c>
      <c r="D34" s="3" t="inlineStr">
        <is>
          <t xml:space="preserve">BIO110</t>
        </is>
      </c>
      <c r="E34" s="3" t="inlineStr">
        <is>
          <t xml:space="preserve">Min</t>
        </is>
      </c>
      <c r="F34" s="3" t="inlineStr">
        <is>
          <t xml:space="preserve">P1</t>
        </is>
      </c>
      <c r="G34" s="6">
        <v>60</v>
      </c>
      <c r="H34" s="2" t="inlineStr">
        <is>
          <t xml:space="preserve">Son kontrollü tekrar — yalnızca zayıf konular + şemalar, yeni konu yok. ▸ Flashcard son tur, 30 soru karışık</t>
        </is>
      </c>
      <c r="I34" s="2" t="inlineStr">
        <is>
          <t xml:space="preserve">Campbell Biology (ilgili bölüm; baskıya göre numara değişir) + hoca slaytı — Materyal bekleniyor</t>
        </is>
      </c>
      <c r="J34" s="7" t="inlineStr">
        <is>
          <t xml:space="preserve">Not Started</t>
        </is>
      </c>
      <c r="K34" s="7"/>
      <c r="L34" s="3"/>
    </row>
    <row r="35">
      <c r="A35" s="2" t="inlineStr">
        <is>
          <t xml:space="preserve">2026-11-03-02</t>
        </is>
      </c>
      <c r="B35" s="4">
        <v>46329</v>
      </c>
      <c r="C35" s="3" t="inlineStr">
        <is>
          <t xml:space="preserve">Salı</t>
        </is>
      </c>
      <c r="D35" s="3" t="inlineStr">
        <is>
          <t xml:space="preserve">BIO110</t>
        </is>
      </c>
      <c r="E35" s="3" t="inlineStr">
        <is>
          <t xml:space="preserve">Min</t>
        </is>
      </c>
      <c r="F35" s="3" t="inlineStr">
        <is>
          <t xml:space="preserve">P1</t>
        </is>
      </c>
      <c r="G35" s="6">
        <v>10</v>
      </c>
      <c r="H35" s="2" t="inlineStr">
        <is>
          <t xml:space="preserve">Sınav günü hazırlığı — Kimlik/öğrenci kartı, kalem, saat, salon; yeni konu YOK. ▸ Gece uykusu önce, sabah 20 dk şema gözden geçirme</t>
        </is>
      </c>
      <c r="I35" s="2"/>
      <c r="J35" s="7" t="inlineStr">
        <is>
          <t xml:space="preserve">Not Started</t>
        </is>
      </c>
      <c r="K35" s="7"/>
      <c r="L35" s="3"/>
    </row>
    <row r="36">
      <c r="A36" s="2" t="inlineStr">
        <is>
          <t xml:space="preserve">2026-11-03-03</t>
        </is>
      </c>
      <c r="B36" s="4">
        <v>46329</v>
      </c>
      <c r="C36" s="3" t="inlineStr">
        <is>
          <t xml:space="preserve">Salı</t>
        </is>
      </c>
      <c r="D36" s="3" t="inlineStr">
        <is>
          <t xml:space="preserve">CMPE371</t>
        </is>
      </c>
      <c r="E36" s="3" t="inlineStr">
        <is>
          <t xml:space="preserve">Ext</t>
        </is>
      </c>
      <c r="F36" s="3" t="inlineStr">
        <is>
          <t xml:space="preserve">P1</t>
        </is>
      </c>
      <c r="G36" s="6">
        <v>70</v>
      </c>
      <c r="H36" s="2" t="inlineStr">
        <is>
          <t xml:space="preserve">Special signals — birim basamak, impuls, rampa, üstel, çift/tek, periyodiklik. ▸ 8 temel + 5 orta problem</t>
        </is>
      </c>
      <c r="I36" s="2" t="inlineStr">
        <is>
          <t xml:space="preserve">Hoca slaytı + ders kitabı (syllabus'ta belirtilmemiş: Materyal bekleniyor) — Materyal bekleniyor</t>
        </is>
      </c>
      <c r="J36" s="7" t="inlineStr">
        <is>
          <t xml:space="preserve">Not Started</t>
        </is>
      </c>
      <c r="K36" s="7"/>
      <c r="L36" s="3"/>
    </row>
    <row r="37">
      <c r="A37" s="2" t="inlineStr">
        <is>
          <t xml:space="preserve">2026-11-03-04</t>
        </is>
      </c>
      <c r="B37" s="4">
        <v>46329</v>
      </c>
      <c r="C37" s="3" t="inlineStr">
        <is>
          <t xml:space="preserve">Salı</t>
        </is>
      </c>
      <c r="D37" s="3" t="inlineStr">
        <is>
          <t xml:space="preserve">CMPE327</t>
        </is>
      </c>
      <c r="E37" s="3" t="inlineStr">
        <is>
          <t xml:space="preserve">Ext</t>
        </is>
      </c>
      <c r="F37" s="3" t="inlineStr">
        <is>
          <t xml:space="preserve">P2</t>
        </is>
      </c>
      <c r="G37" s="6">
        <v>60</v>
      </c>
      <c r="H37" s="2" t="inlineStr">
        <is>
          <t xml:space="preserve">DFA tasarım pratiği — karma dil kalıpları. ▸ 15 DFA tasarla; her birine 3 test string</t>
        </is>
      </c>
      <c r="I37" s="2" t="inlineStr">
        <is>
          <t xml:space="preserve">Hoca slaytı + ders kitabı (syllabus'ta belirtilmemiş: Materyal bekleniyor) — Materyal bekleniyor</t>
        </is>
      </c>
      <c r="J37" s="7" t="inlineStr">
        <is>
          <t xml:space="preserve">Not Started</t>
        </is>
      </c>
      <c r="K37" s="7"/>
      <c r="L37" s="3"/>
    </row>
    <row r="38">
      <c r="A38" s="2" t="inlineStr">
        <is>
          <t xml:space="preserve">2026-11-03-05</t>
        </is>
      </c>
      <c r="B38" s="4">
        <v>46329</v>
      </c>
      <c r="C38" s="3" t="inlineStr">
        <is>
          <t xml:space="preserve">Salı</t>
        </is>
      </c>
      <c r="D38" s="3" t="inlineStr">
        <is>
          <t xml:space="preserve">CMPE421</t>
        </is>
      </c>
      <c r="E38" s="3" t="inlineStr">
        <is>
          <t xml:space="preserve">Ext</t>
        </is>
      </c>
      <c r="F38" s="3" t="inlineStr">
        <is>
          <t xml:space="preserve">P3</t>
        </is>
      </c>
      <c r="G38" s="6">
        <v>60</v>
      </c>
      <c r="H38" s="2" t="inlineStr">
        <is>
          <t xml:space="preserve">Intro to AI + intelligent agents — AI tanımı, PEAS, ortam türleri, ajan türleri. ▸ 6 PEAS tanımı + 10 kavram sorusu</t>
        </is>
      </c>
      <c r="I38" s="2" t="inlineStr">
        <is>
          <t xml:space="preserve">Hoca slaytı (syllabus kitap belirtmiyor: Materyal bekleniyor) — Materyal bekleniyor</t>
        </is>
      </c>
      <c r="J38" s="7" t="inlineStr">
        <is>
          <t xml:space="preserve">Not Started</t>
        </is>
      </c>
      <c r="K38" s="7"/>
      <c r="L38" s="3"/>
    </row>
    <row r="39">
      <c r="A39" s="2" t="inlineStr">
        <is>
          <t xml:space="preserve">2026-11-03-06</t>
        </is>
      </c>
      <c r="B39" s="4">
        <v>46329</v>
      </c>
      <c r="C39" s="3" t="inlineStr">
        <is>
          <t xml:space="preserve">Salı</t>
        </is>
      </c>
      <c r="D39" s="3" t="inlineStr">
        <is>
          <t xml:space="preserve">CMPE499</t>
        </is>
      </c>
      <c r="E39" s="3" t="inlineStr">
        <is>
          <t xml:space="preserve">Ext</t>
        </is>
      </c>
      <c r="F39" s="3" t="inlineStr">
        <is>
          <t xml:space="preserve">P3</t>
        </is>
      </c>
      <c r="G39" s="6">
        <v>45</v>
      </c>
      <c r="H39" s="2" t="inlineStr">
        <is>
          <t xml:space="preserve">Rapor: yönerge + içerik planı — bölüm yönergesi/şablon, sayfa sınırı, başlık iskeleti. ▸ İskelet + her başlığa 2 madde</t>
        </is>
      </c>
      <c r="I39" s="2"/>
      <c r="J39" s="7" t="inlineStr">
        <is>
          <t xml:space="preserve">Not Started</t>
        </is>
      </c>
      <c r="K39" s="7"/>
      <c r="L39" s="3" t="inlineStr">
        <is>
          <t xml:space="preserve">★</t>
        </is>
      </c>
    </row>
    <row r="40">
      <c r="A40" s="2" t="inlineStr">
        <is>
          <t xml:space="preserve">2026-11-03-07</t>
        </is>
      </c>
      <c r="B40" s="4">
        <v>46329</v>
      </c>
      <c r="C40" s="3" t="inlineStr">
        <is>
          <t xml:space="preserve">Salı</t>
        </is>
      </c>
      <c r="D40" s="3" t="inlineStr">
        <is>
          <t xml:space="preserve">BIO110</t>
        </is>
      </c>
      <c r="E40" s="3" t="inlineStr">
        <is>
          <t xml:space="preserve">Min</t>
        </is>
      </c>
      <c r="F40" s="3" t="inlineStr">
        <is>
          <t xml:space="preserve">P2</t>
        </is>
      </c>
      <c r="G40" s="6">
        <v>32</v>
      </c>
      <c r="H40" s="2" t="inlineStr">
        <is>
          <t xml:space="preserve">Tekrar (kapalı kitap aktif hatırlama, konu başına ~8 dk): Photosynthesis (D+1); Büyük moleküller I: karbonhidrat + lipid (D+3); Büyük moleküller II: protein + nükleik asit (D+3); Hücre turu I (D+3)</t>
        </is>
      </c>
      <c r="I40" s="2"/>
      <c r="J40" s="7" t="inlineStr">
        <is>
          <t xml:space="preserve">Not Started</t>
        </is>
      </c>
      <c r="K40" s="7"/>
      <c r="L40" s="3"/>
    </row>
    <row r="41">
      <c r="A41" s="2" t="inlineStr">
        <is>
          <t xml:space="preserve">2026-11-03-08</t>
        </is>
      </c>
      <c r="B41" s="4">
        <v>46329</v>
      </c>
      <c r="C41" s="3" t="inlineStr">
        <is>
          <t xml:space="preserve">Salı</t>
        </is>
      </c>
      <c r="D41" s="3" t="inlineStr">
        <is>
          <t xml:space="preserve">CMPE371</t>
        </is>
      </c>
      <c r="E41" s="3" t="inlineStr">
        <is>
          <t xml:space="preserve">Min</t>
        </is>
      </c>
      <c r="F41" s="3" t="inlineStr">
        <is>
          <t xml:space="preserve">P2</t>
        </is>
      </c>
      <c r="G41" s="6">
        <v>16</v>
      </c>
      <c r="H41" s="2" t="inlineStr">
        <is>
          <t xml:space="preserve">Tekrar (kapalı kitap aktif hatırlama, konu başına ~8 dk): Sinusoids (D+1); Önkoşul: trigonometri, üstel, türev/integral (D+3)</t>
        </is>
      </c>
      <c r="I41" s="2"/>
      <c r="J41" s="7" t="inlineStr">
        <is>
          <t xml:space="preserve">Not Started</t>
        </is>
      </c>
      <c r="K41" s="7"/>
      <c r="L41" s="3"/>
    </row>
    <row r="42">
      <c r="A42" s="2" t="inlineStr">
        <is>
          <t xml:space="preserve">2026-11-03-09</t>
        </is>
      </c>
      <c r="B42" s="4">
        <v>46329</v>
      </c>
      <c r="C42" s="3" t="inlineStr">
        <is>
          <t xml:space="preserve">Salı</t>
        </is>
      </c>
      <c r="D42" s="3" t="inlineStr">
        <is>
          <t xml:space="preserve">CMPE327</t>
        </is>
      </c>
      <c r="E42" s="3" t="inlineStr">
        <is>
          <t xml:space="preserve">Min</t>
        </is>
      </c>
      <c r="F42" s="3" t="inlineStr">
        <is>
          <t xml:space="preserve">P3</t>
        </is>
      </c>
      <c r="G42" s="6">
        <v>8</v>
      </c>
      <c r="H42" s="2" t="inlineStr">
        <is>
          <t xml:space="preserve">Tekrar (kapalı kitap aktif hatırlama, konu başına ~8 dk): DFA (D+3)</t>
        </is>
      </c>
      <c r="I42" s="2"/>
      <c r="J42" s="7" t="inlineStr">
        <is>
          <t xml:space="preserve">Not Started</t>
        </is>
      </c>
      <c r="K42" s="7"/>
      <c r="L42" s="3"/>
    </row>
    <row r="43">
      <c r="A43" s="2" t="inlineStr">
        <is>
          <t xml:space="preserve">2026-11-04-01</t>
        </is>
      </c>
      <c r="B43" s="4">
        <v>46330</v>
      </c>
      <c r="C43" s="3" t="inlineStr">
        <is>
          <t xml:space="preserve">Çarşamba</t>
        </is>
      </c>
      <c r="D43" s="3" t="inlineStr">
        <is>
          <t xml:space="preserve">BIO110</t>
        </is>
      </c>
      <c r="E43" s="3" t="inlineStr">
        <is>
          <t xml:space="preserve">Min</t>
        </is>
      </c>
      <c r="F43" s="3" t="inlineStr">
        <is>
          <t xml:space="preserve">P3</t>
        </is>
      </c>
      <c r="G43" s="6">
        <v>30</v>
      </c>
      <c r="H43" s="2" t="inlineStr">
        <is>
          <t xml:space="preserve">Midterm 1 sonrası analiz — hangi konulardan soru geldi/zayıf kaldı. ▸ Mistake Log + sonraki sınav için kapsam notu</t>
        </is>
      </c>
      <c r="I43" s="2"/>
      <c r="J43" s="7" t="inlineStr">
        <is>
          <t xml:space="preserve">Not Started</t>
        </is>
      </c>
      <c r="K43" s="7"/>
      <c r="L43" s="3" t="inlineStr">
        <is>
          <t xml:space="preserve">★</t>
        </is>
      </c>
    </row>
    <row r="44">
      <c r="A44" s="2" t="inlineStr">
        <is>
          <t xml:space="preserve">2026-11-04-02</t>
        </is>
      </c>
      <c r="B44" s="4">
        <v>46330</v>
      </c>
      <c r="C44" s="3" t="inlineStr">
        <is>
          <t xml:space="preserve">Çarşamba</t>
        </is>
      </c>
      <c r="D44" s="3" t="inlineStr">
        <is>
          <t xml:space="preserve">CMPE453</t>
        </is>
      </c>
      <c r="E44" s="3" t="inlineStr">
        <is>
          <t xml:space="preserve">Min</t>
        </is>
      </c>
      <c r="F44" s="3" t="inlineStr">
        <is>
          <t xml:space="preserve">P2</t>
        </is>
      </c>
      <c r="G44" s="6">
        <v>70</v>
      </c>
      <c r="H44" s="2" t="inlineStr">
        <is>
          <t xml:space="preserve">Course overview + ATmega328P architecture — CPU, Flash/SRAM/EEPROM, register dosyası, pinler, saat. ▸ Blok şemayı belleğten çiz + 10 kavram sorusu</t>
        </is>
      </c>
      <c r="I44" s="2" t="inlineStr">
        <is>
          <t xml:space="preserve">Elliot (syllabus: Ch.1–10) + STM32 Manual + hoca slaytı — Materyal bekleniyor</t>
        </is>
      </c>
      <c r="J44" s="7" t="inlineStr">
        <is>
          <t xml:space="preserve">Not Started</t>
        </is>
      </c>
      <c r="K44" s="7"/>
      <c r="L44" s="3"/>
    </row>
    <row r="45">
      <c r="A45" s="2" t="inlineStr">
        <is>
          <t xml:space="preserve">2026-11-04-03</t>
        </is>
      </c>
      <c r="B45" s="4">
        <v>46330</v>
      </c>
      <c r="C45" s="3" t="inlineStr">
        <is>
          <t xml:space="preserve">Çarşamba</t>
        </is>
      </c>
      <c r="D45" s="3" t="inlineStr">
        <is>
          <t xml:space="preserve">CMPE327</t>
        </is>
      </c>
      <c r="E45" s="3" t="inlineStr">
        <is>
          <t xml:space="preserve">Min</t>
        </is>
      </c>
      <c r="F45" s="3" t="inlineStr">
        <is>
          <t xml:space="preserve">P2</t>
        </is>
      </c>
      <c r="G45" s="6">
        <v>70</v>
      </c>
      <c r="H45" s="2" t="inlineStr">
        <is>
          <t xml:space="preserve">NFA ve ε-NFA — tanım, belirsizlik, ε-geçişleri, tasarım. ▸ 8 NFA çiz + string izleme</t>
        </is>
      </c>
      <c r="I45" s="2" t="inlineStr">
        <is>
          <t xml:space="preserve">Hoca slaytı + ders kitabı (syllabus'ta belirtilmemiş: Materyal bekleniyor) — Materyal bekleniyor</t>
        </is>
      </c>
      <c r="J45" s="7" t="inlineStr">
        <is>
          <t xml:space="preserve">Not Started</t>
        </is>
      </c>
      <c r="K45" s="7"/>
      <c r="L45" s="3"/>
    </row>
    <row r="46">
      <c r="A46" s="2" t="inlineStr">
        <is>
          <t xml:space="preserve">2026-11-04-04</t>
        </is>
      </c>
      <c r="B46" s="4">
        <v>46330</v>
      </c>
      <c r="C46" s="3" t="inlineStr">
        <is>
          <t xml:space="preserve">Çarşamba</t>
        </is>
      </c>
      <c r="D46" s="3" t="inlineStr">
        <is>
          <t xml:space="preserve">CMPE371</t>
        </is>
      </c>
      <c r="E46" s="3" t="inlineStr">
        <is>
          <t xml:space="preserve">Ext</t>
        </is>
      </c>
      <c r="F46" s="3" t="inlineStr">
        <is>
          <t xml:space="preserve">P1</t>
        </is>
      </c>
      <c r="G46" s="6">
        <v>80</v>
      </c>
      <c r="H46" s="2" t="inlineStr">
        <is>
          <t xml:space="preserve">System properties — bellek, nedensellik, doğrusallık, zamanla değişmezlik, kararlılık, tersinirlik. ▸ 10 sistemi özelliklere göre sınıflandır (gerekçeli)</t>
        </is>
      </c>
      <c r="I46" s="2" t="inlineStr">
        <is>
          <t xml:space="preserve">Hoca slaytı + ders kitabı (syllabus'ta belirtilmemiş: Materyal bekleniyor) — Materyal bekleniyor</t>
        </is>
      </c>
      <c r="J46" s="7" t="inlineStr">
        <is>
          <t xml:space="preserve">Not Started</t>
        </is>
      </c>
      <c r="K46" s="7"/>
      <c r="L46" s="3"/>
    </row>
    <row r="47">
      <c r="A47" s="2" t="inlineStr">
        <is>
          <t xml:space="preserve">2026-11-04-05</t>
        </is>
      </c>
      <c r="B47" s="4">
        <v>46330</v>
      </c>
      <c r="C47" s="3" t="inlineStr">
        <is>
          <t xml:space="preserve">Çarşamba</t>
        </is>
      </c>
      <c r="D47" s="3" t="inlineStr">
        <is>
          <t xml:space="preserve">CMPE421</t>
        </is>
      </c>
      <c r="E47" s="3" t="inlineStr">
        <is>
          <t xml:space="preserve">Ext</t>
        </is>
      </c>
      <c r="F47" s="3" t="inlineStr">
        <is>
          <t xml:space="preserve">P3</t>
        </is>
      </c>
      <c r="G47" s="6">
        <v>80</v>
      </c>
      <c r="H47" s="2" t="inlineStr">
        <is>
          <t xml:space="preserve">Problem solving + uninformed search — problem formülasyonu, BFS, DFS, UCS, DLS, IDS; tam/optimal/karmaşıklık. ▸ 5 arama ağacı izle + karşılaştırma tablosu</t>
        </is>
      </c>
      <c r="I47" s="2" t="inlineStr">
        <is>
          <t xml:space="preserve">Hoca slaytı (syllabus kitap belirtmiyor: Materyal bekleniyor) — Materyal bekleniyor</t>
        </is>
      </c>
      <c r="J47" s="7" t="inlineStr">
        <is>
          <t xml:space="preserve">Not Started</t>
        </is>
      </c>
      <c r="K47" s="7"/>
      <c r="L47" s="3"/>
    </row>
    <row r="48">
      <c r="A48" s="2" t="inlineStr">
        <is>
          <t xml:space="preserve">2026-11-04-06</t>
        </is>
      </c>
      <c r="B48" s="4">
        <v>46330</v>
      </c>
      <c r="C48" s="3" t="inlineStr">
        <is>
          <t xml:space="preserve">Çarşamba</t>
        </is>
      </c>
      <c r="D48" s="3" t="inlineStr">
        <is>
          <t xml:space="preserve">CMPE421</t>
        </is>
      </c>
      <c r="E48" s="3" t="inlineStr">
        <is>
          <t xml:space="preserve">Min</t>
        </is>
      </c>
      <c r="F48" s="3" t="inlineStr">
        <is>
          <t xml:space="preserve">P3</t>
        </is>
      </c>
      <c r="G48" s="6">
        <v>8</v>
      </c>
      <c r="H48" s="2" t="inlineStr">
        <is>
          <t xml:space="preserve">Tekrar (kapalı kitap aktif hatırlama, konu başına ~8 dk): Intro to AI + intelligent agents (D+1)</t>
        </is>
      </c>
      <c r="I48" s="2"/>
      <c r="J48" s="7" t="inlineStr">
        <is>
          <t xml:space="preserve">Not Started</t>
        </is>
      </c>
      <c r="K48" s="7"/>
      <c r="L48" s="3"/>
    </row>
    <row r="49">
      <c r="A49" s="2" t="inlineStr">
        <is>
          <t xml:space="preserve">2026-11-04-07</t>
        </is>
      </c>
      <c r="B49" s="4">
        <v>46330</v>
      </c>
      <c r="C49" s="3" t="inlineStr">
        <is>
          <t xml:space="preserve">Çarşamba</t>
        </is>
      </c>
      <c r="D49" s="3" t="inlineStr">
        <is>
          <t xml:space="preserve">CMPE371</t>
        </is>
      </c>
      <c r="E49" s="3" t="inlineStr">
        <is>
          <t xml:space="preserve">Min</t>
        </is>
      </c>
      <c r="F49" s="3" t="inlineStr">
        <is>
          <t xml:space="preserve">P2</t>
        </is>
      </c>
      <c r="G49" s="6">
        <v>16</v>
      </c>
      <c r="H49" s="2" t="inlineStr">
        <is>
          <t xml:space="preserve">Tekrar (kapalı kitap aktif hatırlama, konu başına ~8 dk): Special signals (D+1); Introduction to Signals and Systems (D+3)</t>
        </is>
      </c>
      <c r="I49" s="2"/>
      <c r="J49" s="7" t="inlineStr">
        <is>
          <t xml:space="preserve">Not Started</t>
        </is>
      </c>
      <c r="K49" s="7"/>
      <c r="L49" s="3"/>
    </row>
    <row r="50">
      <c r="A50" s="2" t="inlineStr">
        <is>
          <t xml:space="preserve">2026-11-04-08</t>
        </is>
      </c>
      <c r="B50" s="4">
        <v>46330</v>
      </c>
      <c r="C50" s="3" t="inlineStr">
        <is>
          <t xml:space="preserve">Çarşamba</t>
        </is>
      </c>
      <c r="D50" s="3" t="inlineStr">
        <is>
          <t xml:space="preserve">BIO110</t>
        </is>
      </c>
      <c r="E50" s="3" t="inlineStr">
        <is>
          <t xml:space="preserve">Min</t>
        </is>
      </c>
      <c r="F50" s="3" t="inlineStr">
        <is>
          <t xml:space="preserve">P3</t>
        </is>
      </c>
      <c r="G50" s="6">
        <v>32</v>
      </c>
      <c r="H50" s="2" t="inlineStr">
        <is>
          <t xml:space="preserve">Tekrar (kapalı kitap aktif hatırlama, konu başına ~8 dk): Hücre turu II (D+3); Membrane Structure and Function (D+3); An Introduction to Metabolism (D+3); Cellular Respiration (D+3)</t>
        </is>
      </c>
      <c r="I50" s="2"/>
      <c r="J50" s="7" t="inlineStr">
        <is>
          <t xml:space="preserve">Not Started</t>
        </is>
      </c>
      <c r="K50" s="7"/>
      <c r="L50" s="3"/>
    </row>
    <row r="51">
      <c r="A51" s="2" t="inlineStr">
        <is>
          <t xml:space="preserve">2026-11-05-01</t>
        </is>
      </c>
      <c r="B51" s="4">
        <v>46331</v>
      </c>
      <c r="C51" s="3" t="inlineStr">
        <is>
          <t xml:space="preserve">Perşembe</t>
        </is>
      </c>
      <c r="D51" s="3" t="inlineStr">
        <is>
          <t xml:space="preserve">CMPE453</t>
        </is>
      </c>
      <c r="E51" s="3" t="inlineStr">
        <is>
          <t xml:space="preserve">Min</t>
        </is>
      </c>
      <c r="F51" s="3" t="inlineStr">
        <is>
          <t xml:space="preserve">P2</t>
        </is>
      </c>
      <c r="G51" s="6">
        <v>80</v>
      </c>
      <c r="H51" s="2" t="inlineStr">
        <is>
          <t xml:space="preserve">Programming AVR (C + bit işlemleri) — register erişimi, &amp;,|,^,~,&lt;&lt;,&gt;&gt;; bit set/clear/toggle/test. ▸ 12 bit işlemi alıştırması + 5 kod oku</t>
        </is>
      </c>
      <c r="I51" s="2" t="inlineStr">
        <is>
          <t xml:space="preserve">Elliot (syllabus: Ch.1–10) + STM32 Manual + hoca slaytı — Materyal bekleniyor</t>
        </is>
      </c>
      <c r="J51" s="7" t="inlineStr">
        <is>
          <t xml:space="preserve">Not Started</t>
        </is>
      </c>
      <c r="K51" s="7"/>
      <c r="L51" s="3"/>
    </row>
    <row r="52">
      <c r="A52" s="2" t="inlineStr">
        <is>
          <t xml:space="preserve">2026-11-05-02</t>
        </is>
      </c>
      <c r="B52" s="4">
        <v>46331</v>
      </c>
      <c r="C52" s="3" t="inlineStr">
        <is>
          <t xml:space="preserve">Perşembe</t>
        </is>
      </c>
      <c r="D52" s="3" t="inlineStr">
        <is>
          <t xml:space="preserve">CMPE327</t>
        </is>
      </c>
      <c r="E52" s="3" t="inlineStr">
        <is>
          <t xml:space="preserve">Min</t>
        </is>
      </c>
      <c r="F52" s="3" t="inlineStr">
        <is>
          <t xml:space="preserve">P2</t>
        </is>
      </c>
      <c r="G52" s="6">
        <v>70</v>
      </c>
      <c r="H52" s="2" t="inlineStr">
        <is>
          <t xml:space="preserve">DFA ≡ NFA (altküme yapısı) — altküme dönüştürmesi, ε-kapanış. ▸ 6 NFA→DFA dönüştürme</t>
        </is>
      </c>
      <c r="I52" s="2" t="inlineStr">
        <is>
          <t xml:space="preserve">Hoca slaytı + ders kitabı (syllabus'ta belirtilmemiş: Materyal bekleniyor) — Materyal bekleniyor</t>
        </is>
      </c>
      <c r="J52" s="7" t="inlineStr">
        <is>
          <t xml:space="preserve">Not Started</t>
        </is>
      </c>
      <c r="K52" s="7"/>
      <c r="L52" s="3"/>
    </row>
    <row r="53">
      <c r="A53" s="2" t="inlineStr">
        <is>
          <t xml:space="preserve">2026-11-05-03</t>
        </is>
      </c>
      <c r="B53" s="4">
        <v>46331</v>
      </c>
      <c r="C53" s="3" t="inlineStr">
        <is>
          <t xml:space="preserve">Perşembe</t>
        </is>
      </c>
      <c r="D53" s="3" t="inlineStr">
        <is>
          <t xml:space="preserve">CMPE371</t>
        </is>
      </c>
      <c r="E53" s="3" t="inlineStr">
        <is>
          <t xml:space="preserve">Ext</t>
        </is>
      </c>
      <c r="F53" s="3" t="inlineStr">
        <is>
          <t xml:space="preserve">P1</t>
        </is>
      </c>
      <c r="G53" s="6">
        <v>80</v>
      </c>
      <c r="H53" s="2" t="inlineStr">
        <is>
          <t xml:space="preserve">LTI I: ayrık konvolüsyon — impuls yanıtı, konvolüsyon toplamı, tablo/grafik yöntem. ▸ 6 temel + 4 orta hesap</t>
        </is>
      </c>
      <c r="I53" s="2" t="inlineStr">
        <is>
          <t xml:space="preserve">Hoca slaytı + ders kitabı (syllabus'ta belirtilmemiş: Materyal bekleniyor) — Materyal bekleniyor</t>
        </is>
      </c>
      <c r="J53" s="7" t="inlineStr">
        <is>
          <t xml:space="preserve">Not Started</t>
        </is>
      </c>
      <c r="K53" s="7"/>
      <c r="L53" s="3"/>
    </row>
    <row r="54">
      <c r="A54" s="2" t="inlineStr">
        <is>
          <t xml:space="preserve">2026-11-05-04</t>
        </is>
      </c>
      <c r="B54" s="4">
        <v>46331</v>
      </c>
      <c r="C54" s="3" t="inlineStr">
        <is>
          <t xml:space="preserve">Perşembe</t>
        </is>
      </c>
      <c r="D54" s="3" t="inlineStr">
        <is>
          <t xml:space="preserve">CMPE371</t>
        </is>
      </c>
      <c r="E54" s="3" t="inlineStr">
        <is>
          <t xml:space="preserve">Ext</t>
        </is>
      </c>
      <c r="F54" s="3" t="inlineStr">
        <is>
          <t xml:space="preserve">P1</t>
        </is>
      </c>
      <c r="G54" s="6">
        <v>90</v>
      </c>
      <c r="H54" s="2" t="inlineStr">
        <is>
          <t xml:space="preserve">LTI II: sürekli konvolüsyon — konvolüsyon integrali, grafik yöntem, standart sinyal çiftleri. ▸ 5 temel + 4 orta hesap</t>
        </is>
      </c>
      <c r="I54" s="2" t="inlineStr">
        <is>
          <t xml:space="preserve">Hoca slaytı + ders kitabı (syllabus'ta belirtilmemiş: Materyal bekleniyor) — Materyal bekleniyor</t>
        </is>
      </c>
      <c r="J54" s="7" t="inlineStr">
        <is>
          <t xml:space="preserve">Not Started</t>
        </is>
      </c>
      <c r="K54" s="7"/>
      <c r="L54" s="3"/>
    </row>
    <row r="55">
      <c r="A55" s="2" t="inlineStr">
        <is>
          <t xml:space="preserve">2026-11-05-05</t>
        </is>
      </c>
      <c r="B55" s="4">
        <v>46331</v>
      </c>
      <c r="C55" s="3" t="inlineStr">
        <is>
          <t xml:space="preserve">Perşembe</t>
        </is>
      </c>
      <c r="D55" s="3" t="inlineStr">
        <is>
          <t xml:space="preserve">CMPE327</t>
        </is>
      </c>
      <c r="E55" s="3" t="inlineStr">
        <is>
          <t xml:space="preserve">Min</t>
        </is>
      </c>
      <c r="F55" s="3" t="inlineStr">
        <is>
          <t xml:space="preserve">P3</t>
        </is>
      </c>
      <c r="G55" s="6">
        <v>8</v>
      </c>
      <c r="H55" s="2" t="inlineStr">
        <is>
          <t xml:space="preserve">Tekrar (kapalı kitap aktif hatırlama, konu başına ~8 dk): NFA ve ε-NFA (D+1)</t>
        </is>
      </c>
      <c r="I55" s="2"/>
      <c r="J55" s="7" t="inlineStr">
        <is>
          <t xml:space="preserve">Not Started</t>
        </is>
      </c>
      <c r="K55" s="7"/>
      <c r="L55" s="3"/>
    </row>
    <row r="56">
      <c r="A56" s="2" t="inlineStr">
        <is>
          <t xml:space="preserve">2026-11-05-06</t>
        </is>
      </c>
      <c r="B56" s="4">
        <v>46331</v>
      </c>
      <c r="C56" s="3" t="inlineStr">
        <is>
          <t xml:space="preserve">Perşembe</t>
        </is>
      </c>
      <c r="D56" s="3" t="inlineStr">
        <is>
          <t xml:space="preserve">CMPE421</t>
        </is>
      </c>
      <c r="E56" s="3" t="inlineStr">
        <is>
          <t xml:space="preserve">Min</t>
        </is>
      </c>
      <c r="F56" s="3" t="inlineStr">
        <is>
          <t xml:space="preserve">P3</t>
        </is>
      </c>
      <c r="G56" s="6">
        <v>8</v>
      </c>
      <c r="H56" s="2" t="inlineStr">
        <is>
          <t xml:space="preserve">Tekrar (kapalı kitap aktif hatırlama, konu başına ~8 dk): Problem solving + uninformed search (D+1)</t>
        </is>
      </c>
      <c r="I56" s="2"/>
      <c r="J56" s="7" t="inlineStr">
        <is>
          <t xml:space="preserve">Not Started</t>
        </is>
      </c>
      <c r="K56" s="7"/>
      <c r="L56" s="3"/>
    </row>
    <row r="57">
      <c r="A57" s="2" t="inlineStr">
        <is>
          <t xml:space="preserve">2026-11-05-07</t>
        </is>
      </c>
      <c r="B57" s="4">
        <v>46331</v>
      </c>
      <c r="C57" s="3" t="inlineStr">
        <is>
          <t xml:space="preserve">Perşembe</t>
        </is>
      </c>
      <c r="D57" s="3" t="inlineStr">
        <is>
          <t xml:space="preserve">CMPE453</t>
        </is>
      </c>
      <c r="E57" s="3" t="inlineStr">
        <is>
          <t xml:space="preserve">Min</t>
        </is>
      </c>
      <c r="F57" s="3" t="inlineStr">
        <is>
          <t xml:space="preserve">P3</t>
        </is>
      </c>
      <c r="G57" s="6">
        <v>8</v>
      </c>
      <c r="H57" s="2" t="inlineStr">
        <is>
          <t xml:space="preserve">Tekrar (kapalı kitap aktif hatırlama, konu başına ~8 dk): Course overview + ATmega328P architecture (D+1)</t>
        </is>
      </c>
      <c r="I57" s="2"/>
      <c r="J57" s="7" t="inlineStr">
        <is>
          <t xml:space="preserve">Not Started</t>
        </is>
      </c>
      <c r="K57" s="7"/>
      <c r="L57" s="3"/>
    </row>
    <row r="58">
      <c r="A58" s="2" t="inlineStr">
        <is>
          <t xml:space="preserve">2026-11-05-08</t>
        </is>
      </c>
      <c r="B58" s="4">
        <v>46331</v>
      </c>
      <c r="C58" s="3" t="inlineStr">
        <is>
          <t xml:space="preserve">Perşembe</t>
        </is>
      </c>
      <c r="D58" s="3" t="inlineStr">
        <is>
          <t xml:space="preserve">CMPE371</t>
        </is>
      </c>
      <c r="E58" s="3" t="inlineStr">
        <is>
          <t xml:space="preserve">Min</t>
        </is>
      </c>
      <c r="F58" s="3" t="inlineStr">
        <is>
          <t xml:space="preserve">P2</t>
        </is>
      </c>
      <c r="G58" s="6">
        <v>16</v>
      </c>
      <c r="H58" s="2" t="inlineStr">
        <is>
          <t xml:space="preserve">Tekrar (kapalı kitap aktif hatırlama, konu başına ~8 dk): System properties (D+1); Sinusoids (D+3)</t>
        </is>
      </c>
      <c r="I58" s="2"/>
      <c r="J58" s="7" t="inlineStr">
        <is>
          <t xml:space="preserve">Not Started</t>
        </is>
      </c>
      <c r="K58" s="7"/>
      <c r="L58" s="3"/>
    </row>
    <row r="59">
      <c r="A59" s="2" t="inlineStr">
        <is>
          <t xml:space="preserve">2026-11-05-09</t>
        </is>
      </c>
      <c r="B59" s="4">
        <v>46331</v>
      </c>
      <c r="C59" s="3" t="inlineStr">
        <is>
          <t xml:space="preserve">Perşembe</t>
        </is>
      </c>
      <c r="D59" s="3" t="inlineStr">
        <is>
          <t xml:space="preserve">BIO110</t>
        </is>
      </c>
      <c r="E59" s="3" t="inlineStr">
        <is>
          <t xml:space="preserve">Min</t>
        </is>
      </c>
      <c r="F59" s="3" t="inlineStr">
        <is>
          <t xml:space="preserve">P3</t>
        </is>
      </c>
      <c r="G59" s="6">
        <v>8</v>
      </c>
      <c r="H59" s="2" t="inlineStr">
        <is>
          <t xml:space="preserve">Tekrar (kapalı kitap aktif hatırlama, konu başına ~8 dk): Photosynthesis (D+3)</t>
        </is>
      </c>
      <c r="I59" s="2"/>
      <c r="J59" s="7" t="inlineStr">
        <is>
          <t xml:space="preserve">Not Started</t>
        </is>
      </c>
      <c r="K59" s="7"/>
      <c r="L59" s="3"/>
    </row>
    <row r="60">
      <c r="A60" s="2" t="inlineStr">
        <is>
          <t xml:space="preserve">2026-11-06-01</t>
        </is>
      </c>
      <c r="B60" s="4">
        <v>46332</v>
      </c>
      <c r="C60" s="3" t="inlineStr">
        <is>
          <t xml:space="preserve">Cuma</t>
        </is>
      </c>
      <c r="D60" s="3" t="inlineStr">
        <is>
          <t xml:space="preserve">CMPE453</t>
        </is>
      </c>
      <c r="E60" s="3" t="inlineStr">
        <is>
          <t xml:space="preserve">Min</t>
        </is>
      </c>
      <c r="F60" s="3" t="inlineStr">
        <is>
          <t xml:space="preserve">P2</t>
        </is>
      </c>
      <c r="G60" s="6">
        <v>70</v>
      </c>
      <c r="H60" s="2" t="inlineStr">
        <is>
          <t xml:space="preserve">AVR I/O portları — DDRx, PORTx, PINx; LED desenleri, çıkış yapılandırma. ▸ 8 kod parçasını izle + 4 kod yaz (kağıt)</t>
        </is>
      </c>
      <c r="I60" s="2" t="inlineStr">
        <is>
          <t xml:space="preserve">Elliot (syllabus: Ch.1–10) + STM32 Manual + hoca slaytı — Materyal bekleniyor</t>
        </is>
      </c>
      <c r="J60" s="7" t="inlineStr">
        <is>
          <t xml:space="preserve">Not Started</t>
        </is>
      </c>
      <c r="K60" s="7"/>
      <c r="L60" s="3"/>
    </row>
    <row r="61">
      <c r="A61" s="2" t="inlineStr">
        <is>
          <t xml:space="preserve">2026-11-06-02</t>
        </is>
      </c>
      <c r="B61" s="4">
        <v>46332</v>
      </c>
      <c r="C61" s="3" t="inlineStr">
        <is>
          <t xml:space="preserve">Cuma</t>
        </is>
      </c>
      <c r="D61" s="3" t="inlineStr">
        <is>
          <t xml:space="preserve">CMPE327</t>
        </is>
      </c>
      <c r="E61" s="3" t="inlineStr">
        <is>
          <t xml:space="preserve">Min</t>
        </is>
      </c>
      <c r="F61" s="3" t="inlineStr">
        <is>
          <t xml:space="preserve">P2</t>
        </is>
      </c>
      <c r="G61" s="6">
        <v>60</v>
      </c>
      <c r="H61" s="2" t="inlineStr">
        <is>
          <t xml:space="preserve">Closure properties — birleşim, kesişim, tümleyen, çarpım (product) yapısı. ▸ 5 yapı + 3 kısa ispat</t>
        </is>
      </c>
      <c r="I61" s="2" t="inlineStr">
        <is>
          <t xml:space="preserve">Hoca slaytı + ders kitabı (syllabus'ta belirtilmemiş: Materyal bekleniyor) — Materyal bekleniyor</t>
        </is>
      </c>
      <c r="J61" s="7" t="inlineStr">
        <is>
          <t xml:space="preserve">Not Started</t>
        </is>
      </c>
      <c r="K61" s="7"/>
      <c r="L61" s="3"/>
    </row>
    <row r="62">
      <c r="A62" s="2" t="inlineStr">
        <is>
          <t xml:space="preserve">2026-11-06-03</t>
        </is>
      </c>
      <c r="B62" s="4">
        <v>46332</v>
      </c>
      <c r="C62" s="3" t="inlineStr">
        <is>
          <t xml:space="preserve">Cuma</t>
        </is>
      </c>
      <c r="D62" s="3" t="inlineStr">
        <is>
          <t xml:space="preserve">CMPE371</t>
        </is>
      </c>
      <c r="E62" s="3" t="inlineStr">
        <is>
          <t xml:space="preserve">Min</t>
        </is>
      </c>
      <c r="F62" s="3" t="inlineStr">
        <is>
          <t xml:space="preserve">P1</t>
        </is>
      </c>
      <c r="G62" s="6">
        <v>60</v>
      </c>
      <c r="H62" s="2" t="inlineStr">
        <is>
          <t xml:space="preserve">HW1 çalışma 1 — ödev metnini oku, S1–S4 ile çözülebilenleri bitir. ▸ ödevin ilk yarısı</t>
        </is>
      </c>
      <c r="I62" s="2"/>
      <c r="J62" s="7" t="inlineStr">
        <is>
          <t xml:space="preserve">Not Started</t>
        </is>
      </c>
      <c r="K62" s="7"/>
      <c r="L62" s="3" t="inlineStr">
        <is>
          <t xml:space="preserve">★</t>
        </is>
      </c>
    </row>
    <row r="63">
      <c r="A63" s="2" t="inlineStr">
        <is>
          <t xml:space="preserve">2026-11-06-04</t>
        </is>
      </c>
      <c r="B63" s="4">
        <v>46332</v>
      </c>
      <c r="C63" s="3" t="inlineStr">
        <is>
          <t xml:space="preserve">Cuma</t>
        </is>
      </c>
      <c r="D63" s="3" t="inlineStr">
        <is>
          <t xml:space="preserve">CMPE371</t>
        </is>
      </c>
      <c r="E63" s="3" t="inlineStr">
        <is>
          <t xml:space="preserve">Ext</t>
        </is>
      </c>
      <c r="F63" s="3" t="inlineStr">
        <is>
          <t xml:space="preserve">P1</t>
        </is>
      </c>
      <c r="G63" s="6">
        <v>60</v>
      </c>
      <c r="H63" s="2" t="inlineStr">
        <is>
          <t xml:space="preserve">LTI III: özellikler — değişme/birleşme/dağılma, impuls-basamak yanıtı, nedensellik/kararlılık koşulu, bağlantılar. ▸ 6 problem + blok diyagram 3 örnek</t>
        </is>
      </c>
      <c r="I63" s="2" t="inlineStr">
        <is>
          <t xml:space="preserve">Hoca slaytı + ders kitabı (syllabus'ta belirtilmemiş: Materyal bekleniyor) — Materyal bekleniyor</t>
        </is>
      </c>
      <c r="J63" s="7" t="inlineStr">
        <is>
          <t xml:space="preserve">Not Started</t>
        </is>
      </c>
      <c r="K63" s="7"/>
      <c r="L63" s="3"/>
    </row>
    <row r="64">
      <c r="A64" s="2" t="inlineStr">
        <is>
          <t xml:space="preserve">2026-11-06-05</t>
        </is>
      </c>
      <c r="B64" s="4">
        <v>46332</v>
      </c>
      <c r="C64" s="3" t="inlineStr">
        <is>
          <t xml:space="preserve">Cuma</t>
        </is>
      </c>
      <c r="D64" s="3" t="inlineStr">
        <is>
          <t xml:space="preserve">CMPE499</t>
        </is>
      </c>
      <c r="E64" s="3" t="inlineStr">
        <is>
          <t xml:space="preserve">Ext</t>
        </is>
      </c>
      <c r="F64" s="3" t="inlineStr">
        <is>
          <t xml:space="preserve">P3</t>
        </is>
      </c>
      <c r="G64" s="6">
        <v>60</v>
      </c>
      <c r="H64" s="2" t="inlineStr">
        <is>
          <t xml:space="preserve">Rapor: taslak 1 — kurum/staj tanıtımı + görev tanımı. ▸ Bölümü yaz</t>
        </is>
      </c>
      <c r="I64" s="2"/>
      <c r="J64" s="7" t="inlineStr">
        <is>
          <t xml:space="preserve">Not Started</t>
        </is>
      </c>
      <c r="K64" s="7"/>
      <c r="L64" s="3" t="inlineStr">
        <is>
          <t xml:space="preserve">★</t>
        </is>
      </c>
    </row>
    <row r="65">
      <c r="A65" s="2" t="inlineStr">
        <is>
          <t xml:space="preserve">2026-11-06-06</t>
        </is>
      </c>
      <c r="B65" s="4">
        <v>46332</v>
      </c>
      <c r="C65" s="3" t="inlineStr">
        <is>
          <t xml:space="preserve">Cuma</t>
        </is>
      </c>
      <c r="D65" s="3" t="inlineStr">
        <is>
          <t xml:space="preserve">CMPE327</t>
        </is>
      </c>
      <c r="E65" s="3" t="inlineStr">
        <is>
          <t xml:space="preserve">Min</t>
        </is>
      </c>
      <c r="F65" s="3" t="inlineStr">
        <is>
          <t xml:space="preserve">P3</t>
        </is>
      </c>
      <c r="G65" s="6">
        <v>8</v>
      </c>
      <c r="H65" s="2" t="inlineStr">
        <is>
          <t xml:space="preserve">Tekrar (kapalı kitap aktif hatırlama, konu başına ~8 dk): DFA ≡ NFA (altküme yapısı) (D+1)</t>
        </is>
      </c>
      <c r="I65" s="2"/>
      <c r="J65" s="7" t="inlineStr">
        <is>
          <t xml:space="preserve">Not Started</t>
        </is>
      </c>
      <c r="K65" s="7"/>
      <c r="L65" s="3"/>
    </row>
    <row r="66">
      <c r="A66" s="2" t="inlineStr">
        <is>
          <t xml:space="preserve">2026-11-06-07</t>
        </is>
      </c>
      <c r="B66" s="4">
        <v>46332</v>
      </c>
      <c r="C66" s="3" t="inlineStr">
        <is>
          <t xml:space="preserve">Cuma</t>
        </is>
      </c>
      <c r="D66" s="3" t="inlineStr">
        <is>
          <t xml:space="preserve">CMPE453</t>
        </is>
      </c>
      <c r="E66" s="3" t="inlineStr">
        <is>
          <t xml:space="preserve">Min</t>
        </is>
      </c>
      <c r="F66" s="3" t="inlineStr">
        <is>
          <t xml:space="preserve">P3</t>
        </is>
      </c>
      <c r="G66" s="6">
        <v>8</v>
      </c>
      <c r="H66" s="2" t="inlineStr">
        <is>
          <t xml:space="preserve">Tekrar (kapalı kitap aktif hatırlama, konu başına ~8 dk): Programming AVR (C + bit işlemleri) (D+1)</t>
        </is>
      </c>
      <c r="I66" s="2"/>
      <c r="J66" s="7" t="inlineStr">
        <is>
          <t xml:space="preserve">Not Started</t>
        </is>
      </c>
      <c r="K66" s="7"/>
      <c r="L66" s="3"/>
    </row>
    <row r="67">
      <c r="A67" s="2" t="inlineStr">
        <is>
          <t xml:space="preserve">2026-11-06-08</t>
        </is>
      </c>
      <c r="B67" s="4">
        <v>46332</v>
      </c>
      <c r="C67" s="3" t="inlineStr">
        <is>
          <t xml:space="preserve">Cuma</t>
        </is>
      </c>
      <c r="D67" s="3" t="inlineStr">
        <is>
          <t xml:space="preserve">CMPE371</t>
        </is>
      </c>
      <c r="E67" s="3" t="inlineStr">
        <is>
          <t xml:space="preserve">Min</t>
        </is>
      </c>
      <c r="F67" s="3" t="inlineStr">
        <is>
          <t xml:space="preserve">P2</t>
        </is>
      </c>
      <c r="G67" s="6">
        <v>24</v>
      </c>
      <c r="H67" s="2" t="inlineStr">
        <is>
          <t xml:space="preserve">Tekrar (kapalı kitap aktif hatırlama, konu başına ~8 dk): LTI I: ayrık konvolüsyon (D+1); LTI II: sürekli konvolüsyon (D+1); Special signals (D+3)</t>
        </is>
      </c>
      <c r="I67" s="2"/>
      <c r="J67" s="7" t="inlineStr">
        <is>
          <t xml:space="preserve">Not Started</t>
        </is>
      </c>
      <c r="K67" s="7"/>
      <c r="L67" s="3"/>
    </row>
    <row r="68">
      <c r="A68" s="2" t="inlineStr">
        <is>
          <t xml:space="preserve">2026-11-06-09</t>
        </is>
      </c>
      <c r="B68" s="4">
        <v>46332</v>
      </c>
      <c r="C68" s="3" t="inlineStr">
        <is>
          <t xml:space="preserve">Cuma</t>
        </is>
      </c>
      <c r="D68" s="3" t="inlineStr">
        <is>
          <t xml:space="preserve">CMPE421</t>
        </is>
      </c>
      <c r="E68" s="3" t="inlineStr">
        <is>
          <t xml:space="preserve">Min</t>
        </is>
      </c>
      <c r="F68" s="3" t="inlineStr">
        <is>
          <t xml:space="preserve">P3</t>
        </is>
      </c>
      <c r="G68" s="6">
        <v>8</v>
      </c>
      <c r="H68" s="2" t="inlineStr">
        <is>
          <t xml:space="preserve">Tekrar (kapalı kitap aktif hatırlama, konu başına ~8 dk): Intro to AI + intelligent agents (D+3)</t>
        </is>
      </c>
      <c r="I68" s="2"/>
      <c r="J68" s="7" t="inlineStr">
        <is>
          <t xml:space="preserve">Not Started</t>
        </is>
      </c>
      <c r="K68" s="7"/>
      <c r="L68" s="3"/>
    </row>
    <row r="69">
      <c r="A69" s="2" t="inlineStr">
        <is>
          <t xml:space="preserve">2026-11-06-10</t>
        </is>
      </c>
      <c r="B69" s="4">
        <v>46332</v>
      </c>
      <c r="C69" s="3" t="inlineStr">
        <is>
          <t xml:space="preserve">Cuma</t>
        </is>
      </c>
      <c r="D69" s="3" t="inlineStr">
        <is>
          <t xml:space="preserve">CMPE327</t>
        </is>
      </c>
      <c r="E69" s="3" t="inlineStr">
        <is>
          <t xml:space="preserve">Ext</t>
        </is>
      </c>
      <c r="F69" s="3" t="inlineStr">
        <is>
          <t xml:space="preserve">P3</t>
        </is>
      </c>
      <c r="G69" s="6">
        <v>8</v>
      </c>
      <c r="H69" s="2" t="inlineStr">
        <is>
          <t xml:space="preserve">Tekrar (kapalı kitap aktif hatırlama, konu başına ~8 dk): Central concepts + mathematical preliminaries (D+7)</t>
        </is>
      </c>
      <c r="I69" s="2"/>
      <c r="J69" s="7" t="inlineStr">
        <is>
          <t xml:space="preserve">Not Started</t>
        </is>
      </c>
      <c r="K69" s="7"/>
      <c r="L69" s="3"/>
    </row>
    <row r="70">
      <c r="A70" s="2" t="inlineStr">
        <is>
          <t xml:space="preserve">2026-11-06-11</t>
        </is>
      </c>
      <c r="B70" s="4">
        <v>46332</v>
      </c>
      <c r="C70" s="3" t="inlineStr">
        <is>
          <t xml:space="preserve">Cuma</t>
        </is>
      </c>
      <c r="D70" s="3" t="inlineStr">
        <is>
          <t xml:space="preserve">BIO110</t>
        </is>
      </c>
      <c r="E70" s="3" t="inlineStr">
        <is>
          <t xml:space="preserve">Ext</t>
        </is>
      </c>
      <c r="F70" s="3" t="inlineStr">
        <is>
          <t xml:space="preserve">P3</t>
        </is>
      </c>
      <c r="G70" s="6">
        <v>24</v>
      </c>
      <c r="H70" s="2" t="inlineStr">
        <is>
          <t xml:space="preserve">Tekrar (kapalı kitap aktif hatırlama, konu başına ~8 dk): The Chemical Context of Life (D+7); Water and Life (D+7); Carbon and Molecular Diversity (D+7)</t>
        </is>
      </c>
      <c r="I70" s="2"/>
      <c r="J70" s="7" t="inlineStr">
        <is>
          <t xml:space="preserve">Not Started</t>
        </is>
      </c>
      <c r="K70" s="7"/>
      <c r="L70" s="3"/>
    </row>
    <row r="71">
      <c r="A71" s="2" t="inlineStr">
        <is>
          <t xml:space="preserve">2026-11-06-12</t>
        </is>
      </c>
      <c r="B71" s="4">
        <v>46332</v>
      </c>
      <c r="C71" s="3" t="inlineStr">
        <is>
          <t xml:space="preserve">Cuma</t>
        </is>
      </c>
      <c r="D71" s="3" t="inlineStr">
        <is>
          <t xml:space="preserve">CMPE371</t>
        </is>
      </c>
      <c r="E71" s="3" t="inlineStr">
        <is>
          <t xml:space="preserve">Ext</t>
        </is>
      </c>
      <c r="F71" s="3" t="inlineStr">
        <is>
          <t xml:space="preserve">P2</t>
        </is>
      </c>
      <c r="G71" s="6">
        <v>8</v>
      </c>
      <c r="H71" s="2" t="inlineStr">
        <is>
          <t xml:space="preserve">Tekrar (kapalı kitap aktif hatırlama, konu başına ~8 dk): Önkoşul: karmaşık sayılar ve Euler (D+7)</t>
        </is>
      </c>
      <c r="I71" s="2"/>
      <c r="J71" s="7" t="inlineStr">
        <is>
          <t xml:space="preserve">Not Started</t>
        </is>
      </c>
      <c r="K71" s="7"/>
      <c r="L71" s="3"/>
    </row>
    <row r="72">
      <c r="A72" s="2" t="inlineStr">
        <is>
          <t xml:space="preserve">2026-11-07-01</t>
        </is>
      </c>
      <c r="B72" s="4">
        <v>46333</v>
      </c>
      <c r="C72" s="3" t="inlineStr">
        <is>
          <t xml:space="preserve">Cumartesi</t>
        </is>
      </c>
      <c r="D72" s="3" t="inlineStr">
        <is>
          <t xml:space="preserve">CMPE453</t>
        </is>
      </c>
      <c r="E72" s="3" t="inlineStr">
        <is>
          <t xml:space="preserve">Min</t>
        </is>
      </c>
      <c r="F72" s="3" t="inlineStr">
        <is>
          <t xml:space="preserve">P1</t>
        </is>
      </c>
      <c r="G72" s="6">
        <v>60</v>
      </c>
      <c r="H72" s="2" t="inlineStr">
        <is>
          <t xml:space="preserve">Digital input — pull-up/pull-down, polling, buton, bounce ve yazılım debounce. ▸ 6 kod okuma + 3 buton-LED uygulaması (kağıt)</t>
        </is>
      </c>
      <c r="I72" s="2" t="inlineStr">
        <is>
          <t xml:space="preserve">Elliot (syllabus: Ch.1–10) + STM32 Manual + hoca slaytı — Materyal bekleniyor</t>
        </is>
      </c>
      <c r="J72" s="7" t="inlineStr">
        <is>
          <t xml:space="preserve">Not Started</t>
        </is>
      </c>
      <c r="K72" s="7"/>
      <c r="L72" s="3"/>
    </row>
    <row r="73">
      <c r="A73" s="2" t="inlineStr">
        <is>
          <t xml:space="preserve">2026-11-07-02</t>
        </is>
      </c>
      <c r="B73" s="4">
        <v>46333</v>
      </c>
      <c r="C73" s="3" t="inlineStr">
        <is>
          <t xml:space="preserve">Cumartesi</t>
        </is>
      </c>
      <c r="D73" s="3" t="inlineStr">
        <is>
          <t xml:space="preserve">CMPE327</t>
        </is>
      </c>
      <c r="E73" s="3" t="inlineStr">
        <is>
          <t xml:space="preserve">Min</t>
        </is>
      </c>
      <c r="F73" s="3" t="inlineStr">
        <is>
          <t xml:space="preserve">P2</t>
        </is>
      </c>
      <c r="G73" s="6">
        <v>80</v>
      </c>
      <c r="H73" s="2" t="inlineStr">
        <is>
          <t xml:space="preserve">Regular expressions — regex sözdizimi, regex↔NFA, pattern matching. ▸ 8 regex yaz + 4 dönüşüm</t>
        </is>
      </c>
      <c r="I73" s="2" t="inlineStr">
        <is>
          <t xml:space="preserve">Hoca slaytı + ders kitabı (syllabus'ta belirtilmemiş: Materyal bekleniyor) — Materyal bekleniyor</t>
        </is>
      </c>
      <c r="J73" s="7" t="inlineStr">
        <is>
          <t xml:space="preserve">Not Started</t>
        </is>
      </c>
      <c r="K73" s="7"/>
      <c r="L73" s="3"/>
    </row>
    <row r="74">
      <c r="A74" s="2" t="inlineStr">
        <is>
          <t xml:space="preserve">2026-11-07-03</t>
        </is>
      </c>
      <c r="B74" s="4">
        <v>46333</v>
      </c>
      <c r="C74" s="3" t="inlineStr">
        <is>
          <t xml:space="preserve">Cumartesi</t>
        </is>
      </c>
      <c r="D74" s="3" t="inlineStr">
        <is>
          <t xml:space="preserve">CMPE371</t>
        </is>
      </c>
      <c r="E74" s="3" t="inlineStr">
        <is>
          <t xml:space="preserve">Ext</t>
        </is>
      </c>
      <c r="F74" s="3" t="inlineStr">
        <is>
          <t xml:space="preserve">P2</t>
        </is>
      </c>
      <c r="G74" s="6">
        <v>90</v>
      </c>
      <c r="H74" s="2" t="inlineStr">
        <is>
          <t xml:space="preserve">Differential and difference equations — homojen+özel çözüm, başlangıç koşulu, fark denklemi özyineleme, impuls yanıtı. ▸ 5 temel + 4 orta çözüm</t>
        </is>
      </c>
      <c r="I74" s="2" t="inlineStr">
        <is>
          <t xml:space="preserve">Hoca slaytı + ders kitabı (syllabus'ta belirtilmemiş: Materyal bekleniyor) — Materyal bekleniyor</t>
        </is>
      </c>
      <c r="J74" s="7" t="inlineStr">
        <is>
          <t xml:space="preserve">Not Started</t>
        </is>
      </c>
      <c r="K74" s="7"/>
      <c r="L74" s="3"/>
    </row>
    <row r="75">
      <c r="A75" s="2" t="inlineStr">
        <is>
          <t xml:space="preserve">2026-11-07-04</t>
        </is>
      </c>
      <c r="B75" s="4">
        <v>46333</v>
      </c>
      <c r="C75" s="3" t="inlineStr">
        <is>
          <t xml:space="preserve">Cumartesi</t>
        </is>
      </c>
      <c r="D75" s="3" t="inlineStr">
        <is>
          <t xml:space="preserve">CMPE421</t>
        </is>
      </c>
      <c r="E75" s="3" t="inlineStr">
        <is>
          <t xml:space="preserve">Ext</t>
        </is>
      </c>
      <c r="F75" s="3" t="inlineStr">
        <is>
          <t xml:space="preserve">P3</t>
        </is>
      </c>
      <c r="G75" s="6">
        <v>80</v>
      </c>
      <c r="H75" s="2" t="inlineStr">
        <is>
          <t xml:space="preserve">Informed search — greedy, A*, admissible/consistent sezgisel, sezgisel tasarım. ▸ 5 A* izleme + 3 sezgisel kanıt</t>
        </is>
      </c>
      <c r="I75" s="2" t="inlineStr">
        <is>
          <t xml:space="preserve">Hoca slaytı (syllabus kitap belirtmiyor: Materyal bekleniyor) — Materyal bekleniyor</t>
        </is>
      </c>
      <c r="J75" s="7" t="inlineStr">
        <is>
          <t xml:space="preserve">Not Started</t>
        </is>
      </c>
      <c r="K75" s="7"/>
      <c r="L75" s="3"/>
    </row>
    <row r="76">
      <c r="A76" s="2" t="inlineStr">
        <is>
          <t xml:space="preserve">2026-11-07-05</t>
        </is>
      </c>
      <c r="B76" s="4">
        <v>46333</v>
      </c>
      <c r="C76" s="3" t="inlineStr">
        <is>
          <t xml:space="preserve">Cumartesi</t>
        </is>
      </c>
      <c r="D76" s="3" t="inlineStr">
        <is>
          <t xml:space="preserve">CMPE327</t>
        </is>
      </c>
      <c r="E76" s="3" t="inlineStr">
        <is>
          <t xml:space="preserve">Min</t>
        </is>
      </c>
      <c r="F76" s="3" t="inlineStr">
        <is>
          <t xml:space="preserve">P3</t>
        </is>
      </c>
      <c r="G76" s="6">
        <v>16</v>
      </c>
      <c r="H76" s="2" t="inlineStr">
        <is>
          <t xml:space="preserve">Tekrar (kapalı kitap aktif hatırlama, konu başına ~8 dk): Closure properties (D+1); NFA ve ε-NFA (D+3)</t>
        </is>
      </c>
      <c r="I76" s="2"/>
      <c r="J76" s="7" t="inlineStr">
        <is>
          <t xml:space="preserve">Not Started</t>
        </is>
      </c>
      <c r="K76" s="7"/>
      <c r="L76" s="3"/>
    </row>
    <row r="77">
      <c r="A77" s="2" t="inlineStr">
        <is>
          <t xml:space="preserve">2026-11-07-06</t>
        </is>
      </c>
      <c r="B77" s="4">
        <v>46333</v>
      </c>
      <c r="C77" s="3" t="inlineStr">
        <is>
          <t xml:space="preserve">Cumartesi</t>
        </is>
      </c>
      <c r="D77" s="3" t="inlineStr">
        <is>
          <t xml:space="preserve">CMPE453</t>
        </is>
      </c>
      <c r="E77" s="3" t="inlineStr">
        <is>
          <t xml:space="preserve">Min</t>
        </is>
      </c>
      <c r="F77" s="3" t="inlineStr">
        <is>
          <t xml:space="preserve">P3</t>
        </is>
      </c>
      <c r="G77" s="6">
        <v>16</v>
      </c>
      <c r="H77" s="2" t="inlineStr">
        <is>
          <t xml:space="preserve">Tekrar (kapalı kitap aktif hatırlama, konu başına ~8 dk): AVR I/O portları (D+1); Course overview + ATmega328P architecture (D+3)</t>
        </is>
      </c>
      <c r="I77" s="2"/>
      <c r="J77" s="7" t="inlineStr">
        <is>
          <t xml:space="preserve">Not Started</t>
        </is>
      </c>
      <c r="K77" s="7"/>
      <c r="L77" s="3"/>
    </row>
    <row r="78">
      <c r="A78" s="2" t="inlineStr">
        <is>
          <t xml:space="preserve">2026-11-07-07</t>
        </is>
      </c>
      <c r="B78" s="4">
        <v>46333</v>
      </c>
      <c r="C78" s="3" t="inlineStr">
        <is>
          <t xml:space="preserve">Cumartesi</t>
        </is>
      </c>
      <c r="D78" s="3" t="inlineStr">
        <is>
          <t xml:space="preserve">CMPE371</t>
        </is>
      </c>
      <c r="E78" s="3" t="inlineStr">
        <is>
          <t xml:space="preserve">Min</t>
        </is>
      </c>
      <c r="F78" s="3" t="inlineStr">
        <is>
          <t xml:space="preserve">P3</t>
        </is>
      </c>
      <c r="G78" s="6">
        <v>16</v>
      </c>
      <c r="H78" s="2" t="inlineStr">
        <is>
          <t xml:space="preserve">Tekrar (kapalı kitap aktif hatırlama, konu başına ~8 dk): LTI III: özellikler (D+1); System properties (D+3)</t>
        </is>
      </c>
      <c r="I78" s="2"/>
      <c r="J78" s="7" t="inlineStr">
        <is>
          <t xml:space="preserve">Not Started</t>
        </is>
      </c>
      <c r="K78" s="7"/>
      <c r="L78" s="3"/>
    </row>
    <row r="79">
      <c r="A79" s="2" t="inlineStr">
        <is>
          <t xml:space="preserve">2026-11-07-08</t>
        </is>
      </c>
      <c r="B79" s="4">
        <v>46333</v>
      </c>
      <c r="C79" s="3" t="inlineStr">
        <is>
          <t xml:space="preserve">Cumartesi</t>
        </is>
      </c>
      <c r="D79" s="3" t="inlineStr">
        <is>
          <t xml:space="preserve">CMPE421</t>
        </is>
      </c>
      <c r="E79" s="3" t="inlineStr">
        <is>
          <t xml:space="preserve">Min</t>
        </is>
      </c>
      <c r="F79" s="3" t="inlineStr">
        <is>
          <t xml:space="preserve">P3</t>
        </is>
      </c>
      <c r="G79" s="6">
        <v>8</v>
      </c>
      <c r="H79" s="2" t="inlineStr">
        <is>
          <t xml:space="preserve">Tekrar (kapalı kitap aktif hatırlama, konu başına ~8 dk): Problem solving + uninformed search (D+3)</t>
        </is>
      </c>
      <c r="I79" s="2"/>
      <c r="J79" s="7" t="inlineStr">
        <is>
          <t xml:space="preserve">Not Started</t>
        </is>
      </c>
      <c r="K79" s="7"/>
      <c r="L79" s="3"/>
    </row>
    <row r="80">
      <c r="A80" s="2" t="inlineStr">
        <is>
          <t xml:space="preserve">2026-11-07-09</t>
        </is>
      </c>
      <c r="B80" s="4">
        <v>46333</v>
      </c>
      <c r="C80" s="3" t="inlineStr">
        <is>
          <t xml:space="preserve">Cumartesi</t>
        </is>
      </c>
      <c r="D80" s="3" t="inlineStr">
        <is>
          <t xml:space="preserve">CMPE327</t>
        </is>
      </c>
      <c r="E80" s="3" t="inlineStr">
        <is>
          <t xml:space="preserve">Ext</t>
        </is>
      </c>
      <c r="F80" s="3" t="inlineStr">
        <is>
          <t xml:space="preserve">P3</t>
        </is>
      </c>
      <c r="G80" s="6">
        <v>8</v>
      </c>
      <c r="H80" s="2" t="inlineStr">
        <is>
          <t xml:space="preserve">Tekrar (kapalı kitap aktif hatırlama, konu başına ~8 dk): DFA (D+7)</t>
        </is>
      </c>
      <c r="I80" s="2"/>
      <c r="J80" s="7" t="inlineStr">
        <is>
          <t xml:space="preserve">Not Started</t>
        </is>
      </c>
      <c r="K80" s="7"/>
      <c r="L80" s="3"/>
    </row>
    <row r="81">
      <c r="A81" s="2" t="inlineStr">
        <is>
          <t xml:space="preserve">2026-11-07-10</t>
        </is>
      </c>
      <c r="B81" s="4">
        <v>46333</v>
      </c>
      <c r="C81" s="3" t="inlineStr">
        <is>
          <t xml:space="preserve">Cumartesi</t>
        </is>
      </c>
      <c r="D81" s="3" t="inlineStr">
        <is>
          <t xml:space="preserve">BIO110</t>
        </is>
      </c>
      <c r="E81" s="3" t="inlineStr">
        <is>
          <t xml:space="preserve">Ext</t>
        </is>
      </c>
      <c r="F81" s="3" t="inlineStr">
        <is>
          <t xml:space="preserve">P3</t>
        </is>
      </c>
      <c r="G81" s="6">
        <v>24</v>
      </c>
      <c r="H81" s="2" t="inlineStr">
        <is>
          <t xml:space="preserve">Tekrar (kapalı kitap aktif hatırlama, konu başına ~8 dk): Büyük moleküller I: karbonhidrat + lipid (D+7); Büyük moleküller II: protein + nükleik asit (D+7); Hücre turu I (D+7)</t>
        </is>
      </c>
      <c r="I81" s="2"/>
      <c r="J81" s="7" t="inlineStr">
        <is>
          <t xml:space="preserve">Not Started</t>
        </is>
      </c>
      <c r="K81" s="7"/>
      <c r="L81" s="3"/>
    </row>
    <row r="82">
      <c r="A82" s="2" t="inlineStr">
        <is>
          <t xml:space="preserve">2026-11-07-11</t>
        </is>
      </c>
      <c r="B82" s="4">
        <v>46333</v>
      </c>
      <c r="C82" s="3" t="inlineStr">
        <is>
          <t xml:space="preserve">Cumartesi</t>
        </is>
      </c>
      <c r="D82" s="3" t="inlineStr">
        <is>
          <t xml:space="preserve">CMPE371</t>
        </is>
      </c>
      <c r="E82" s="3" t="inlineStr">
        <is>
          <t xml:space="preserve">Ext</t>
        </is>
      </c>
      <c r="F82" s="3" t="inlineStr">
        <is>
          <t xml:space="preserve">P3</t>
        </is>
      </c>
      <c r="G82" s="6">
        <v>8</v>
      </c>
      <c r="H82" s="2" t="inlineStr">
        <is>
          <t xml:space="preserve">Tekrar (kapalı kitap aktif hatırlama, konu başına ~8 dk): Önkoşul: trigonometri, üstel, türev/integral (D+7)</t>
        </is>
      </c>
      <c r="I82" s="2"/>
      <c r="J82" s="7" t="inlineStr">
        <is>
          <t xml:space="preserve">Not Started</t>
        </is>
      </c>
      <c r="K82" s="7"/>
      <c r="L82" s="3"/>
    </row>
    <row r="83">
      <c r="A83" s="2" t="inlineStr">
        <is>
          <t xml:space="preserve">2026-11-08-01</t>
        </is>
      </c>
      <c r="B83" s="4">
        <v>46334</v>
      </c>
      <c r="C83" s="3" t="inlineStr">
        <is>
          <t xml:space="preserve">Pazar</t>
        </is>
      </c>
      <c r="D83" s="3" t="inlineStr">
        <is>
          <t xml:space="preserve">CMPE453</t>
        </is>
      </c>
      <c r="E83" s="3" t="inlineStr">
        <is>
          <t xml:space="preserve">Min</t>
        </is>
      </c>
      <c r="F83" s="3" t="inlineStr">
        <is>
          <t xml:space="preserve">P1</t>
        </is>
      </c>
      <c r="G83" s="6">
        <v>80</v>
      </c>
      <c r="H83" s="2" t="inlineStr">
        <is>
          <t xml:space="preserve">USART — UBRR hesabı, çerçeve formatı, UCSR0A/B/C, gönder/al. ▸ 5 baud/UBRR hesabı + 4 kod okuma</t>
        </is>
      </c>
      <c r="I83" s="2" t="inlineStr">
        <is>
          <t xml:space="preserve">Elliot (syllabus: Ch.1–10) + STM32 Manual + hoca slaytı — Materyal bekleniyor</t>
        </is>
      </c>
      <c r="J83" s="7" t="inlineStr">
        <is>
          <t xml:space="preserve">Not Started</t>
        </is>
      </c>
      <c r="K83" s="7"/>
      <c r="L83" s="3"/>
    </row>
    <row r="84">
      <c r="A84" s="2" t="inlineStr">
        <is>
          <t xml:space="preserve">2026-11-08-02</t>
        </is>
      </c>
      <c r="B84" s="4">
        <v>46334</v>
      </c>
      <c r="C84" s="3" t="inlineStr">
        <is>
          <t xml:space="preserve">Pazar</t>
        </is>
      </c>
      <c r="D84" s="3" t="inlineStr">
        <is>
          <t xml:space="preserve">CMPE327</t>
        </is>
      </c>
      <c r="E84" s="3" t="inlineStr">
        <is>
          <t xml:space="preserve">Min</t>
        </is>
      </c>
      <c r="F84" s="3" t="inlineStr">
        <is>
          <t xml:space="preserve">P2</t>
        </is>
      </c>
      <c r="G84" s="6">
        <v>70</v>
      </c>
      <c r="H84" s="2" t="inlineStr">
        <is>
          <t xml:space="preserve">DFA state minimization — ayırt edilebilir durumlar, tablo doldurma. ▸ 5 minimizasyon</t>
        </is>
      </c>
      <c r="I84" s="2" t="inlineStr">
        <is>
          <t xml:space="preserve">Hoca slaytı + ders kitabı (syllabus'ta belirtilmemiş: Materyal bekleniyor) — Materyal bekleniyor</t>
        </is>
      </c>
      <c r="J84" s="7" t="inlineStr">
        <is>
          <t xml:space="preserve">Not Started</t>
        </is>
      </c>
      <c r="K84" s="7"/>
      <c r="L84" s="3"/>
    </row>
    <row r="85">
      <c r="A85" s="2" t="inlineStr">
        <is>
          <t xml:space="preserve">2026-11-08-03</t>
        </is>
      </c>
      <c r="B85" s="4">
        <v>46334</v>
      </c>
      <c r="C85" s="3" t="inlineStr">
        <is>
          <t xml:space="preserve">Pazar</t>
        </is>
      </c>
      <c r="D85" s="3" t="inlineStr">
        <is>
          <t xml:space="preserve">CMPE371</t>
        </is>
      </c>
      <c r="E85" s="3" t="inlineStr">
        <is>
          <t xml:space="preserve">Min</t>
        </is>
      </c>
      <c r="F85" s="3" t="inlineStr">
        <is>
          <t xml:space="preserve">P2</t>
        </is>
      </c>
      <c r="G85" s="6">
        <v>60</v>
      </c>
      <c r="H85" s="2" t="inlineStr">
        <is>
          <t xml:space="preserve">HW1 çalışma 2 — kalanlar + kontrol + teslim. ▸ ödevi bitir ve teslim et</t>
        </is>
      </c>
      <c r="I85" s="2"/>
      <c r="J85" s="7" t="inlineStr">
        <is>
          <t xml:space="preserve">Not Started</t>
        </is>
      </c>
      <c r="K85" s="7"/>
      <c r="L85" s="3" t="inlineStr">
        <is>
          <t xml:space="preserve">★</t>
        </is>
      </c>
    </row>
    <row r="86">
      <c r="A86" s="2" t="inlineStr">
        <is>
          <t xml:space="preserve">2026-11-08-04</t>
        </is>
      </c>
      <c r="B86" s="4">
        <v>46334</v>
      </c>
      <c r="C86" s="3" t="inlineStr">
        <is>
          <t xml:space="preserve">Pazar</t>
        </is>
      </c>
      <c r="D86" s="3" t="inlineStr">
        <is>
          <t xml:space="preserve">CMPE371</t>
        </is>
      </c>
      <c r="E86" s="3" t="inlineStr">
        <is>
          <t xml:space="preserve">Ext</t>
        </is>
      </c>
      <c r="F86" s="3" t="inlineStr">
        <is>
          <t xml:space="preserve">P2</t>
        </is>
      </c>
      <c r="G86" s="6">
        <v>90</v>
      </c>
      <c r="H86" s="2" t="inlineStr">
        <is>
          <t xml:space="preserve">CTFS — periyodik sinyal, Fourier serisi katsayıları, simetri, özellikler. ▸ 5 katsayı hesabı + 3 yorum sorusu</t>
        </is>
      </c>
      <c r="I86" s="2" t="inlineStr">
        <is>
          <t xml:space="preserve">Hoca slaytı + ders kitabı (syllabus'ta belirtilmemiş: Materyal bekleniyor) — Materyal bekleniyor</t>
        </is>
      </c>
      <c r="J86" s="7" t="inlineStr">
        <is>
          <t xml:space="preserve">Not Started</t>
        </is>
      </c>
      <c r="K86" s="7"/>
      <c r="L86" s="3"/>
    </row>
    <row r="87">
      <c r="A87" s="2" t="inlineStr">
        <is>
          <t xml:space="preserve">2026-11-08-05</t>
        </is>
      </c>
      <c r="B87" s="4">
        <v>46334</v>
      </c>
      <c r="C87" s="3" t="inlineStr">
        <is>
          <t xml:space="preserve">Pazar</t>
        </is>
      </c>
      <c r="D87" s="3" t="inlineStr">
        <is>
          <t xml:space="preserve">CMPE421</t>
        </is>
      </c>
      <c r="E87" s="3" t="inlineStr">
        <is>
          <t xml:space="preserve">Ext</t>
        </is>
      </c>
      <c r="F87" s="3" t="inlineStr">
        <is>
          <t xml:space="preserve">P3</t>
        </is>
      </c>
      <c r="G87" s="6">
        <v>70</v>
      </c>
      <c r="H87" s="2" t="inlineStr">
        <is>
          <t xml:space="preserve">Game playing — minimax, alfa-beta budama. ▸ 5 oyun ağacı (budama sırası)</t>
        </is>
      </c>
      <c r="I87" s="2" t="inlineStr">
        <is>
          <t xml:space="preserve">Hoca slaytı (syllabus kitap belirtmiyor: Materyal bekleniyor) — Materyal bekleniyor</t>
        </is>
      </c>
      <c r="J87" s="7" t="inlineStr">
        <is>
          <t xml:space="preserve">Not Started</t>
        </is>
      </c>
      <c r="K87" s="7"/>
      <c r="L87" s="3"/>
    </row>
    <row r="88">
      <c r="A88" s="2" t="inlineStr">
        <is>
          <t xml:space="preserve">2026-11-08-06</t>
        </is>
      </c>
      <c r="B88" s="4">
        <v>46334</v>
      </c>
      <c r="C88" s="3" t="inlineStr">
        <is>
          <t xml:space="preserve">Pazar</t>
        </is>
      </c>
      <c r="D88" s="3" t="inlineStr">
        <is>
          <t xml:space="preserve">CMPE327</t>
        </is>
      </c>
      <c r="E88" s="3" t="inlineStr">
        <is>
          <t xml:space="preserve">Min</t>
        </is>
      </c>
      <c r="F88" s="3" t="inlineStr">
        <is>
          <t xml:space="preserve">P3</t>
        </is>
      </c>
      <c r="G88" s="6">
        <v>16</v>
      </c>
      <c r="H88" s="2" t="inlineStr">
        <is>
          <t xml:space="preserve">Tekrar (kapalı kitap aktif hatırlama, konu başına ~8 dk): Regular expressions (D+1); DFA ≡ NFA (altküme yapısı) (D+3)</t>
        </is>
      </c>
      <c r="I88" s="2"/>
      <c r="J88" s="7" t="inlineStr">
        <is>
          <t xml:space="preserve">Not Started</t>
        </is>
      </c>
      <c r="K88" s="7"/>
      <c r="L88" s="3"/>
    </row>
    <row r="89">
      <c r="A89" s="2" t="inlineStr">
        <is>
          <t xml:space="preserve">2026-11-08-07</t>
        </is>
      </c>
      <c r="B89" s="4">
        <v>46334</v>
      </c>
      <c r="C89" s="3" t="inlineStr">
        <is>
          <t xml:space="preserve">Pazar</t>
        </is>
      </c>
      <c r="D89" s="3" t="inlineStr">
        <is>
          <t xml:space="preserve">CMPE421</t>
        </is>
      </c>
      <c r="E89" s="3" t="inlineStr">
        <is>
          <t xml:space="preserve">Min</t>
        </is>
      </c>
      <c r="F89" s="3" t="inlineStr">
        <is>
          <t xml:space="preserve">P3</t>
        </is>
      </c>
      <c r="G89" s="6">
        <v>8</v>
      </c>
      <c r="H89" s="2" t="inlineStr">
        <is>
          <t xml:space="preserve">Tekrar (kapalı kitap aktif hatırlama, konu başına ~8 dk): Informed search (D+1)</t>
        </is>
      </c>
      <c r="I89" s="2"/>
      <c r="J89" s="7" t="inlineStr">
        <is>
          <t xml:space="preserve">Not Started</t>
        </is>
      </c>
      <c r="K89" s="7"/>
      <c r="L89" s="3"/>
    </row>
    <row r="90">
      <c r="A90" s="2" t="inlineStr">
        <is>
          <t xml:space="preserve">2026-11-08-08</t>
        </is>
      </c>
      <c r="B90" s="4">
        <v>46334</v>
      </c>
      <c r="C90" s="3" t="inlineStr">
        <is>
          <t xml:space="preserve">Pazar</t>
        </is>
      </c>
      <c r="D90" s="3" t="inlineStr">
        <is>
          <t xml:space="preserve">CMPE453</t>
        </is>
      </c>
      <c r="E90" s="3" t="inlineStr">
        <is>
          <t xml:space="preserve">Min</t>
        </is>
      </c>
      <c r="F90" s="3" t="inlineStr">
        <is>
          <t xml:space="preserve">P3</t>
        </is>
      </c>
      <c r="G90" s="6">
        <v>16</v>
      </c>
      <c r="H90" s="2" t="inlineStr">
        <is>
          <t xml:space="preserve">Tekrar (kapalı kitap aktif hatırlama, konu başına ~8 dk): Digital input (D+1); Programming AVR (C + bit işlemleri) (D+3)</t>
        </is>
      </c>
      <c r="I90" s="2"/>
      <c r="J90" s="7" t="inlineStr">
        <is>
          <t xml:space="preserve">Not Started</t>
        </is>
      </c>
      <c r="K90" s="7"/>
      <c r="L90" s="3"/>
    </row>
    <row r="91">
      <c r="A91" s="2" t="inlineStr">
        <is>
          <t xml:space="preserve">2026-11-08-09</t>
        </is>
      </c>
      <c r="B91" s="4">
        <v>46334</v>
      </c>
      <c r="C91" s="3" t="inlineStr">
        <is>
          <t xml:space="preserve">Pazar</t>
        </is>
      </c>
      <c r="D91" s="3" t="inlineStr">
        <is>
          <t xml:space="preserve">CMPE371</t>
        </is>
      </c>
      <c r="E91" s="3" t="inlineStr">
        <is>
          <t xml:space="preserve">Min</t>
        </is>
      </c>
      <c r="F91" s="3" t="inlineStr">
        <is>
          <t xml:space="preserve">P3</t>
        </is>
      </c>
      <c r="G91" s="6">
        <v>24</v>
      </c>
      <c r="H91" s="2" t="inlineStr">
        <is>
          <t xml:space="preserve">Tekrar (kapalı kitap aktif hatırlama, konu başına ~8 dk): Differential and difference equations (D+1); LTI I: ayrık konvolüsyon (D+3); LTI II: sürekli konvolüsyon (D+3)</t>
        </is>
      </c>
      <c r="I91" s="2"/>
      <c r="J91" s="7" t="inlineStr">
        <is>
          <t xml:space="preserve">Not Started</t>
        </is>
      </c>
      <c r="K91" s="7"/>
      <c r="L91" s="3"/>
    </row>
    <row r="92">
      <c r="A92" s="2" t="inlineStr">
        <is>
          <t xml:space="preserve">2026-11-08-10</t>
        </is>
      </c>
      <c r="B92" s="4">
        <v>46334</v>
      </c>
      <c r="C92" s="3" t="inlineStr">
        <is>
          <t xml:space="preserve">Pazar</t>
        </is>
      </c>
      <c r="D92" s="3" t="inlineStr">
        <is>
          <t xml:space="preserve">BIO110</t>
        </is>
      </c>
      <c r="E92" s="3" t="inlineStr">
        <is>
          <t xml:space="preserve">Ext</t>
        </is>
      </c>
      <c r="F92" s="3" t="inlineStr">
        <is>
          <t xml:space="preserve">P3</t>
        </is>
      </c>
      <c r="G92" s="6">
        <v>32</v>
      </c>
      <c r="H92" s="2" t="inlineStr">
        <is>
          <t xml:space="preserve">Tekrar (kapalı kitap aktif hatırlama, konu başına ~8 dk): Hücre turu II (D+7); Membrane Structure and Function (D+7); An Introduction to Metabolism (D+7); Cellular Respiration (D+7)</t>
        </is>
      </c>
      <c r="I92" s="2"/>
      <c r="J92" s="7" t="inlineStr">
        <is>
          <t xml:space="preserve">Not Started</t>
        </is>
      </c>
      <c r="K92" s="7"/>
      <c r="L92" s="3"/>
    </row>
    <row r="93">
      <c r="A93" s="2" t="inlineStr">
        <is>
          <t xml:space="preserve">2026-11-08-11</t>
        </is>
      </c>
      <c r="B93" s="4">
        <v>46334</v>
      </c>
      <c r="C93" s="3" t="inlineStr">
        <is>
          <t xml:space="preserve">Pazar</t>
        </is>
      </c>
      <c r="D93" s="3" t="inlineStr">
        <is>
          <t xml:space="preserve">CMPE371</t>
        </is>
      </c>
      <c r="E93" s="3" t="inlineStr">
        <is>
          <t xml:space="preserve">Ext</t>
        </is>
      </c>
      <c r="F93" s="3" t="inlineStr">
        <is>
          <t xml:space="preserve">P3</t>
        </is>
      </c>
      <c r="G93" s="6">
        <v>8</v>
      </c>
      <c r="H93" s="2" t="inlineStr">
        <is>
          <t xml:space="preserve">Tekrar (kapalı kitap aktif hatırlama, konu başına ~8 dk): Introduction to Signals and Systems (D+7)</t>
        </is>
      </c>
      <c r="I93" s="2"/>
      <c r="J93" s="7" t="inlineStr">
        <is>
          <t xml:space="preserve">Not Started</t>
        </is>
      </c>
      <c r="K93" s="7"/>
      <c r="L93" s="3"/>
    </row>
    <row r="94">
      <c r="A94" s="2" t="inlineStr">
        <is>
          <t xml:space="preserve">2026-11-09-01</t>
        </is>
      </c>
      <c r="B94" s="4">
        <v>46335</v>
      </c>
      <c r="C94" s="3" t="inlineStr">
        <is>
          <t xml:space="preserve">Pazartesi</t>
        </is>
      </c>
      <c r="D94" s="3" t="inlineStr">
        <is>
          <t xml:space="preserve">CMPE453</t>
        </is>
      </c>
      <c r="E94" s="3" t="inlineStr">
        <is>
          <t xml:space="preserve">Min</t>
        </is>
      </c>
      <c r="F94" s="3" t="inlineStr">
        <is>
          <t xml:space="preserve">P1</t>
        </is>
      </c>
      <c r="G94" s="6">
        <v>80</v>
      </c>
      <c r="H94" s="2" t="inlineStr">
        <is>
          <t xml:space="preserve">SPI ve I2C — master/slave, SPCR/SPSR, saat modları; I2C start/stop/ACK, adresleme. ▸ Zaman diyagramı çiz + 6 soru</t>
        </is>
      </c>
      <c r="I94" s="2" t="inlineStr">
        <is>
          <t xml:space="preserve">Elliot (syllabus: Ch.1–10) + STM32 Manual + hoca slaytı — Materyal bekleniyor</t>
        </is>
      </c>
      <c r="J94" s="7" t="inlineStr">
        <is>
          <t xml:space="preserve">Not Started</t>
        </is>
      </c>
      <c r="K94" s="7"/>
      <c r="L94" s="3"/>
    </row>
    <row r="95">
      <c r="A95" s="2" t="inlineStr">
        <is>
          <t xml:space="preserve">2026-11-09-02</t>
        </is>
      </c>
      <c r="B95" s="4">
        <v>46335</v>
      </c>
      <c r="C95" s="3" t="inlineStr">
        <is>
          <t xml:space="preserve">Pazartesi</t>
        </is>
      </c>
      <c r="D95" s="3" t="inlineStr">
        <is>
          <t xml:space="preserve">CMPE327</t>
        </is>
      </c>
      <c r="E95" s="3" t="inlineStr">
        <is>
          <t xml:space="preserve">Min</t>
        </is>
      </c>
      <c r="F95" s="3" t="inlineStr">
        <is>
          <t xml:space="preserve">P2</t>
        </is>
      </c>
      <c r="G95" s="6">
        <v>70</v>
      </c>
      <c r="H95" s="2" t="inlineStr">
        <is>
          <t xml:space="preserve">Myhill–Nerode — denklik sınıfları, minimal DFA ile ilişki, düzenlilik kanıtı. ▸ 4 problem + 2 kısa ispat</t>
        </is>
      </c>
      <c r="I95" s="2" t="inlineStr">
        <is>
          <t xml:space="preserve">Hoca slaytı + ders kitabı (syllabus'ta belirtilmemiş: Materyal bekleniyor) — Materyal bekleniyor</t>
        </is>
      </c>
      <c r="J95" s="7" t="inlineStr">
        <is>
          <t xml:space="preserve">Not Started</t>
        </is>
      </c>
      <c r="K95" s="7"/>
      <c r="L95" s="3"/>
    </row>
    <row r="96">
      <c r="A96" s="2" t="inlineStr">
        <is>
          <t xml:space="preserve">2026-11-09-03</t>
        </is>
      </c>
      <c r="B96" s="4">
        <v>46335</v>
      </c>
      <c r="C96" s="3" t="inlineStr">
        <is>
          <t xml:space="preserve">Pazartesi</t>
        </is>
      </c>
      <c r="D96" s="3" t="inlineStr">
        <is>
          <t xml:space="preserve">CMPE421</t>
        </is>
      </c>
      <c r="E96" s="3" t="inlineStr">
        <is>
          <t xml:space="preserve">Ext</t>
        </is>
      </c>
      <c r="F96" s="3" t="inlineStr">
        <is>
          <t xml:space="preserve">P3</t>
        </is>
      </c>
      <c r="G96" s="6">
        <v>70</v>
      </c>
      <c r="H96" s="2" t="inlineStr">
        <is>
          <t xml:space="preserve">CSP — değişken/alan/kısıt, backtracking, MRV/LCV, forward checking, AC-3. ▸ 4 CSP elle çöz</t>
        </is>
      </c>
      <c r="I96" s="2" t="inlineStr">
        <is>
          <t xml:space="preserve">Hoca slaytı (syllabus kitap belirtmiyor: Materyal bekleniyor) — Materyal bekleniyor</t>
        </is>
      </c>
      <c r="J96" s="7" t="inlineStr">
        <is>
          <t xml:space="preserve">Not Started</t>
        </is>
      </c>
      <c r="K96" s="7"/>
      <c r="L96" s="3"/>
    </row>
    <row r="97">
      <c r="A97" s="2" t="inlineStr">
        <is>
          <t xml:space="preserve">2026-11-09-04</t>
        </is>
      </c>
      <c r="B97" s="4">
        <v>46335</v>
      </c>
      <c r="C97" s="3" t="inlineStr">
        <is>
          <t xml:space="preserve">Pazartesi</t>
        </is>
      </c>
      <c r="D97" s="3" t="inlineStr">
        <is>
          <t xml:space="preserve">CMPE499</t>
        </is>
      </c>
      <c r="E97" s="3" t="inlineStr">
        <is>
          <t xml:space="preserve">Ext</t>
        </is>
      </c>
      <c r="F97" s="3" t="inlineStr">
        <is>
          <t xml:space="preserve">P3</t>
        </is>
      </c>
      <c r="G97" s="6">
        <v>60</v>
      </c>
      <c r="H97" s="2" t="inlineStr">
        <is>
          <t xml:space="preserve">Rapor: taslak 2 — yapılan işler (teknik anlatım). ▸ Bölümü yaz</t>
        </is>
      </c>
      <c r="I97" s="2"/>
      <c r="J97" s="7" t="inlineStr">
        <is>
          <t xml:space="preserve">Not Started</t>
        </is>
      </c>
      <c r="K97" s="7"/>
      <c r="L97" s="3" t="inlineStr">
        <is>
          <t xml:space="preserve">★</t>
        </is>
      </c>
    </row>
    <row r="98">
      <c r="A98" s="2" t="inlineStr">
        <is>
          <t xml:space="preserve">2026-11-09-05</t>
        </is>
      </c>
      <c r="B98" s="4">
        <v>46335</v>
      </c>
      <c r="C98" s="3" t="inlineStr">
        <is>
          <t xml:space="preserve">Pazartesi</t>
        </is>
      </c>
      <c r="D98" s="3" t="inlineStr">
        <is>
          <t xml:space="preserve">CMPE327</t>
        </is>
      </c>
      <c r="E98" s="3" t="inlineStr">
        <is>
          <t xml:space="preserve">Min</t>
        </is>
      </c>
      <c r="F98" s="3" t="inlineStr">
        <is>
          <t xml:space="preserve">P3</t>
        </is>
      </c>
      <c r="G98" s="6">
        <v>16</v>
      </c>
      <c r="H98" s="2" t="inlineStr">
        <is>
          <t xml:space="preserve">Tekrar (kapalı kitap aktif hatırlama, konu başına ~8 dk): DFA state minimization (D+1); Closure properties (D+3)</t>
        </is>
      </c>
      <c r="I98" s="2"/>
      <c r="J98" s="7" t="inlineStr">
        <is>
          <t xml:space="preserve">Not Started</t>
        </is>
      </c>
      <c r="K98" s="7"/>
      <c r="L98" s="3"/>
    </row>
    <row r="99">
      <c r="A99" s="2" t="inlineStr">
        <is>
          <t xml:space="preserve">2026-11-09-06</t>
        </is>
      </c>
      <c r="B99" s="4">
        <v>46335</v>
      </c>
      <c r="C99" s="3" t="inlineStr">
        <is>
          <t xml:space="preserve">Pazartesi</t>
        </is>
      </c>
      <c r="D99" s="3" t="inlineStr">
        <is>
          <t xml:space="preserve">CMPE421</t>
        </is>
      </c>
      <c r="E99" s="3" t="inlineStr">
        <is>
          <t xml:space="preserve">Min</t>
        </is>
      </c>
      <c r="F99" s="3" t="inlineStr">
        <is>
          <t xml:space="preserve">P3</t>
        </is>
      </c>
      <c r="G99" s="6">
        <v>8</v>
      </c>
      <c r="H99" s="2" t="inlineStr">
        <is>
          <t xml:space="preserve">Tekrar (kapalı kitap aktif hatırlama, konu başına ~8 dk): Game playing (D+1)</t>
        </is>
      </c>
      <c r="I99" s="2"/>
      <c r="J99" s="7" t="inlineStr">
        <is>
          <t xml:space="preserve">Not Started</t>
        </is>
      </c>
      <c r="K99" s="7"/>
      <c r="L99" s="3"/>
    </row>
    <row r="100">
      <c r="A100" s="2" t="inlineStr">
        <is>
          <t xml:space="preserve">2026-11-09-07</t>
        </is>
      </c>
      <c r="B100" s="4">
        <v>46335</v>
      </c>
      <c r="C100" s="3" t="inlineStr">
        <is>
          <t xml:space="preserve">Pazartesi</t>
        </is>
      </c>
      <c r="D100" s="3" t="inlineStr">
        <is>
          <t xml:space="preserve">CMPE453</t>
        </is>
      </c>
      <c r="E100" s="3" t="inlineStr">
        <is>
          <t xml:space="preserve">Min</t>
        </is>
      </c>
      <c r="F100" s="3" t="inlineStr">
        <is>
          <t xml:space="preserve">P2</t>
        </is>
      </c>
      <c r="G100" s="6">
        <v>16</v>
      </c>
      <c r="H100" s="2" t="inlineStr">
        <is>
          <t xml:space="preserve">Tekrar (kapalı kitap aktif hatırlama, konu başına ~8 dk): USART (D+1); AVR I/O portları (D+3)</t>
        </is>
      </c>
      <c r="I100" s="2"/>
      <c r="J100" s="7" t="inlineStr">
        <is>
          <t xml:space="preserve">Not Started</t>
        </is>
      </c>
      <c r="K100" s="7"/>
      <c r="L100" s="3"/>
    </row>
    <row r="101">
      <c r="A101" s="2" t="inlineStr">
        <is>
          <t xml:space="preserve">2026-11-09-08</t>
        </is>
      </c>
      <c r="B101" s="4">
        <v>46335</v>
      </c>
      <c r="C101" s="3" t="inlineStr">
        <is>
          <t xml:space="preserve">Pazartesi</t>
        </is>
      </c>
      <c r="D101" s="3" t="inlineStr">
        <is>
          <t xml:space="preserve">CMPE371</t>
        </is>
      </c>
      <c r="E101" s="3" t="inlineStr">
        <is>
          <t xml:space="preserve">Min</t>
        </is>
      </c>
      <c r="F101" s="3" t="inlineStr">
        <is>
          <t xml:space="preserve">P3</t>
        </is>
      </c>
      <c r="G101" s="6">
        <v>16</v>
      </c>
      <c r="H101" s="2" t="inlineStr">
        <is>
          <t xml:space="preserve">Tekrar (kapalı kitap aktif hatırlama, konu başına ~8 dk): CTFS (D+1); LTI III: özellikler (D+3)</t>
        </is>
      </c>
      <c r="I101" s="2"/>
      <c r="J101" s="7" t="inlineStr">
        <is>
          <t xml:space="preserve">Not Started</t>
        </is>
      </c>
      <c r="K101" s="7"/>
      <c r="L101" s="3"/>
    </row>
    <row r="102">
      <c r="A102" s="2" t="inlineStr">
        <is>
          <t xml:space="preserve">2026-11-09-09</t>
        </is>
      </c>
      <c r="B102" s="4">
        <v>46335</v>
      </c>
      <c r="C102" s="3" t="inlineStr">
        <is>
          <t xml:space="preserve">Pazartesi</t>
        </is>
      </c>
      <c r="D102" s="3" t="inlineStr">
        <is>
          <t xml:space="preserve">BIO110</t>
        </is>
      </c>
      <c r="E102" s="3" t="inlineStr">
        <is>
          <t xml:space="preserve">Ext</t>
        </is>
      </c>
      <c r="F102" s="3" t="inlineStr">
        <is>
          <t xml:space="preserve">P3</t>
        </is>
      </c>
      <c r="G102" s="6">
        <v>8</v>
      </c>
      <c r="H102" s="2" t="inlineStr">
        <is>
          <t xml:space="preserve">Tekrar (kapalı kitap aktif hatırlama, konu başına ~8 dk): Photosynthesis (D+7)</t>
        </is>
      </c>
      <c r="I102" s="2"/>
      <c r="J102" s="7" t="inlineStr">
        <is>
          <t xml:space="preserve">Not Started</t>
        </is>
      </c>
      <c r="K102" s="7"/>
      <c r="L102" s="3"/>
    </row>
    <row r="103">
      <c r="A103" s="2" t="inlineStr">
        <is>
          <t xml:space="preserve">2026-11-09-10</t>
        </is>
      </c>
      <c r="B103" s="4">
        <v>46335</v>
      </c>
      <c r="C103" s="3" t="inlineStr">
        <is>
          <t xml:space="preserve">Pazartesi</t>
        </is>
      </c>
      <c r="D103" s="3" t="inlineStr">
        <is>
          <t xml:space="preserve">CMPE371</t>
        </is>
      </c>
      <c r="E103" s="3" t="inlineStr">
        <is>
          <t xml:space="preserve">Ext</t>
        </is>
      </c>
      <c r="F103" s="3" t="inlineStr">
        <is>
          <t xml:space="preserve">P3</t>
        </is>
      </c>
      <c r="G103" s="6">
        <v>8</v>
      </c>
      <c r="H103" s="2" t="inlineStr">
        <is>
          <t xml:space="preserve">Tekrar (kapalı kitap aktif hatırlama, konu başına ~8 dk): Sinusoids (D+7)</t>
        </is>
      </c>
      <c r="I103" s="2"/>
      <c r="J103" s="7" t="inlineStr">
        <is>
          <t xml:space="preserve">Not Started</t>
        </is>
      </c>
      <c r="K103" s="7"/>
      <c r="L103" s="3"/>
    </row>
    <row r="104">
      <c r="A104" s="2" t="inlineStr">
        <is>
          <t xml:space="preserve">2026-11-10-01</t>
        </is>
      </c>
      <c r="B104" s="4">
        <v>46336</v>
      </c>
      <c r="C104" s="3" t="inlineStr">
        <is>
          <t xml:space="preserve">Salı</t>
        </is>
      </c>
      <c r="D104" s="3" t="inlineStr">
        <is>
          <t xml:space="preserve">CMPE453</t>
        </is>
      </c>
      <c r="E104" s="3" t="inlineStr">
        <is>
          <t xml:space="preserve">Min</t>
        </is>
      </c>
      <c r="F104" s="3" t="inlineStr">
        <is>
          <t xml:space="preserve">P1</t>
        </is>
      </c>
      <c r="G104" s="6">
        <v>70</v>
      </c>
      <c r="H104" s="2" t="inlineStr">
        <is>
          <t xml:space="preserve">ADC — ADMUX, ADCSRA, Vref, prescaler, 10-bit sonuç formülü. ▸ 6 dönüşüm hesabı + 3 kod okuma</t>
        </is>
      </c>
      <c r="I104" s="2" t="inlineStr">
        <is>
          <t xml:space="preserve">Elliot (syllabus: Ch.1–10) + STM32 Manual + hoca slaytı — Materyal bekleniyor</t>
        </is>
      </c>
      <c r="J104" s="7" t="inlineStr">
        <is>
          <t xml:space="preserve">Not Started</t>
        </is>
      </c>
      <c r="K104" s="7"/>
      <c r="L104" s="3"/>
    </row>
    <row r="105">
      <c r="A105" s="2" t="inlineStr">
        <is>
          <t xml:space="preserve">2026-11-10-02</t>
        </is>
      </c>
      <c r="B105" s="4">
        <v>46336</v>
      </c>
      <c r="C105" s="3" t="inlineStr">
        <is>
          <t xml:space="preserve">Salı</t>
        </is>
      </c>
      <c r="D105" s="3" t="inlineStr">
        <is>
          <t xml:space="preserve">CMPE327</t>
        </is>
      </c>
      <c r="E105" s="3" t="inlineStr">
        <is>
          <t xml:space="preserve">Min</t>
        </is>
      </c>
      <c r="F105" s="3" t="inlineStr">
        <is>
          <t xml:space="preserve">P2</t>
        </is>
      </c>
      <c r="G105" s="6">
        <v>70</v>
      </c>
      <c r="H105" s="2" t="inlineStr">
        <is>
          <t xml:space="preserve">Derivatives + regex denkliği — Brzozowski türevleri, regex denkliği. ▸ 6 türev hesabı + 3 denklik</t>
        </is>
      </c>
      <c r="I105" s="2" t="inlineStr">
        <is>
          <t xml:space="preserve">Hoca slaytı + ders kitabı (syllabus'ta belirtilmemiş: Materyal bekleniyor) — Materyal bekleniyor</t>
        </is>
      </c>
      <c r="J105" s="7" t="inlineStr">
        <is>
          <t xml:space="preserve">Not Started</t>
        </is>
      </c>
      <c r="K105" s="7"/>
      <c r="L105" s="3"/>
    </row>
    <row r="106">
      <c r="A106" s="2" t="inlineStr">
        <is>
          <t xml:space="preserve">2026-11-10-03</t>
        </is>
      </c>
      <c r="B106" s="4">
        <v>46336</v>
      </c>
      <c r="C106" s="3" t="inlineStr">
        <is>
          <t xml:space="preserve">Salı</t>
        </is>
      </c>
      <c r="D106" s="3" t="inlineStr">
        <is>
          <t xml:space="preserve">CMPE421</t>
        </is>
      </c>
      <c r="E106" s="3" t="inlineStr">
        <is>
          <t xml:space="preserve">Ext</t>
        </is>
      </c>
      <c r="F106" s="3" t="inlineStr">
        <is>
          <t xml:space="preserve">P3</t>
        </is>
      </c>
      <c r="G106" s="6">
        <v>70</v>
      </c>
      <c r="H106" s="2" t="inlineStr">
        <is>
          <t xml:space="preserve">Planning — STRIPS/PDDL, ileri/geri planlama. ▸ 4 plan problemi</t>
        </is>
      </c>
      <c r="I106" s="2" t="inlineStr">
        <is>
          <t xml:space="preserve">Hoca slaytı (syllabus kitap belirtmiyor: Materyal bekleniyor) — Materyal bekleniyor</t>
        </is>
      </c>
      <c r="J106" s="7" t="inlineStr">
        <is>
          <t xml:space="preserve">Not Started</t>
        </is>
      </c>
      <c r="K106" s="7"/>
      <c r="L106" s="3"/>
    </row>
    <row r="107">
      <c r="A107" s="2" t="inlineStr">
        <is>
          <t xml:space="preserve">2026-11-10-04</t>
        </is>
      </c>
      <c r="B107" s="4">
        <v>46336</v>
      </c>
      <c r="C107" s="3" t="inlineStr">
        <is>
          <t xml:space="preserve">Salı</t>
        </is>
      </c>
      <c r="D107" s="3" t="inlineStr">
        <is>
          <t xml:space="preserve">CMPE499</t>
        </is>
      </c>
      <c r="E107" s="3" t="inlineStr">
        <is>
          <t xml:space="preserve">Ext</t>
        </is>
      </c>
      <c r="F107" s="3" t="inlineStr">
        <is>
          <t xml:space="preserve">P3</t>
        </is>
      </c>
      <c r="G107" s="6">
        <v>60</v>
      </c>
      <c r="H107" s="2" t="inlineStr">
        <is>
          <t xml:space="preserve">Rapor: taslak 3 — teknik detay, kod/akış, sonuçlar. ▸ Bölümü yaz</t>
        </is>
      </c>
      <c r="I107" s="2"/>
      <c r="J107" s="7" t="inlineStr">
        <is>
          <t xml:space="preserve">Not Started</t>
        </is>
      </c>
      <c r="K107" s="7"/>
      <c r="L107" s="3" t="inlineStr">
        <is>
          <t xml:space="preserve">★</t>
        </is>
      </c>
    </row>
    <row r="108">
      <c r="A108" s="2" t="inlineStr">
        <is>
          <t xml:space="preserve">2026-11-10-05</t>
        </is>
      </c>
      <c r="B108" s="4">
        <v>46336</v>
      </c>
      <c r="C108" s="3" t="inlineStr">
        <is>
          <t xml:space="preserve">Salı</t>
        </is>
      </c>
      <c r="D108" s="3" t="inlineStr">
        <is>
          <t xml:space="preserve">CMPE499</t>
        </is>
      </c>
      <c r="E108" s="3" t="inlineStr">
        <is>
          <t xml:space="preserve">Ext</t>
        </is>
      </c>
      <c r="F108" s="3" t="inlineStr">
        <is>
          <t xml:space="preserve">P3</t>
        </is>
      </c>
      <c r="G108" s="6">
        <v>45</v>
      </c>
      <c r="H108" s="2" t="inlineStr">
        <is>
          <t xml:space="preserve">Rapor: görseller/tablolar — şekil, ekran görüntüsü, tablo numaralandırma. ▸ Tüm görselleri yerleştir</t>
        </is>
      </c>
      <c r="I108" s="2"/>
      <c r="J108" s="7" t="inlineStr">
        <is>
          <t xml:space="preserve">Not Started</t>
        </is>
      </c>
      <c r="K108" s="7"/>
      <c r="L108" s="3" t="inlineStr">
        <is>
          <t xml:space="preserve">★</t>
        </is>
      </c>
    </row>
    <row r="109">
      <c r="A109" s="2" t="inlineStr">
        <is>
          <t xml:space="preserve">2026-11-10-06</t>
        </is>
      </c>
      <c r="B109" s="4">
        <v>46336</v>
      </c>
      <c r="C109" s="3" t="inlineStr">
        <is>
          <t xml:space="preserve">Salı</t>
        </is>
      </c>
      <c r="D109" s="3" t="inlineStr">
        <is>
          <t xml:space="preserve">CMPE327</t>
        </is>
      </c>
      <c r="E109" s="3" t="inlineStr">
        <is>
          <t xml:space="preserve">Min</t>
        </is>
      </c>
      <c r="F109" s="3" t="inlineStr">
        <is>
          <t xml:space="preserve">P3</t>
        </is>
      </c>
      <c r="G109" s="6">
        <v>16</v>
      </c>
      <c r="H109" s="2" t="inlineStr">
        <is>
          <t xml:space="preserve">Tekrar (kapalı kitap aktif hatırlama, konu başına ~8 dk): Myhill–Nerode (D+1); Regular expressions (D+3)</t>
        </is>
      </c>
      <c r="I109" s="2"/>
      <c r="J109" s="7" t="inlineStr">
        <is>
          <t xml:space="preserve">Not Started</t>
        </is>
      </c>
      <c r="K109" s="7"/>
      <c r="L109" s="3"/>
    </row>
    <row r="110">
      <c r="A110" s="2" t="inlineStr">
        <is>
          <t xml:space="preserve">2026-11-10-07</t>
        </is>
      </c>
      <c r="B110" s="4">
        <v>46336</v>
      </c>
      <c r="C110" s="3" t="inlineStr">
        <is>
          <t xml:space="preserve">Salı</t>
        </is>
      </c>
      <c r="D110" s="3" t="inlineStr">
        <is>
          <t xml:space="preserve">CMPE421</t>
        </is>
      </c>
      <c r="E110" s="3" t="inlineStr">
        <is>
          <t xml:space="preserve">Min</t>
        </is>
      </c>
      <c r="F110" s="3" t="inlineStr">
        <is>
          <t xml:space="preserve">P3</t>
        </is>
      </c>
      <c r="G110" s="6">
        <v>16</v>
      </c>
      <c r="H110" s="2" t="inlineStr">
        <is>
          <t xml:space="preserve">Tekrar (kapalı kitap aktif hatırlama, konu başına ~8 dk): CSP (D+1); Informed search (D+3)</t>
        </is>
      </c>
      <c r="I110" s="2"/>
      <c r="J110" s="7" t="inlineStr">
        <is>
          <t xml:space="preserve">Not Started</t>
        </is>
      </c>
      <c r="K110" s="7"/>
      <c r="L110" s="3"/>
    </row>
    <row r="111">
      <c r="A111" s="2" t="inlineStr">
        <is>
          <t xml:space="preserve">2026-11-10-08</t>
        </is>
      </c>
      <c r="B111" s="4">
        <v>46336</v>
      </c>
      <c r="C111" s="3" t="inlineStr">
        <is>
          <t xml:space="preserve">Salı</t>
        </is>
      </c>
      <c r="D111" s="3" t="inlineStr">
        <is>
          <t xml:space="preserve">CMPE453</t>
        </is>
      </c>
      <c r="E111" s="3" t="inlineStr">
        <is>
          <t xml:space="preserve">Min</t>
        </is>
      </c>
      <c r="F111" s="3" t="inlineStr">
        <is>
          <t xml:space="preserve">P2</t>
        </is>
      </c>
      <c r="G111" s="6">
        <v>16</v>
      </c>
      <c r="H111" s="2" t="inlineStr">
        <is>
          <t xml:space="preserve">Tekrar (kapalı kitap aktif hatırlama, konu başına ~8 dk): SPI ve I2C (D+1); Digital input (D+3)</t>
        </is>
      </c>
      <c r="I111" s="2"/>
      <c r="J111" s="7" t="inlineStr">
        <is>
          <t xml:space="preserve">Not Started</t>
        </is>
      </c>
      <c r="K111" s="7"/>
      <c r="L111" s="3"/>
    </row>
    <row r="112">
      <c r="A112" s="2" t="inlineStr">
        <is>
          <t xml:space="preserve">2026-11-10-09</t>
        </is>
      </c>
      <c r="B112" s="4">
        <v>46336</v>
      </c>
      <c r="C112" s="3" t="inlineStr">
        <is>
          <t xml:space="preserve">Salı</t>
        </is>
      </c>
      <c r="D112" s="3" t="inlineStr">
        <is>
          <t xml:space="preserve">CMPE371</t>
        </is>
      </c>
      <c r="E112" s="3" t="inlineStr">
        <is>
          <t xml:space="preserve">Min</t>
        </is>
      </c>
      <c r="F112" s="3" t="inlineStr">
        <is>
          <t xml:space="preserve">P3</t>
        </is>
      </c>
      <c r="G112" s="6">
        <v>8</v>
      </c>
      <c r="H112" s="2" t="inlineStr">
        <is>
          <t xml:space="preserve">Tekrar (kapalı kitap aktif hatırlama, konu başına ~8 dk): Differential and difference equations (D+3)</t>
        </is>
      </c>
      <c r="I112" s="2"/>
      <c r="J112" s="7" t="inlineStr">
        <is>
          <t xml:space="preserve">Not Started</t>
        </is>
      </c>
      <c r="K112" s="7"/>
      <c r="L112" s="3"/>
    </row>
    <row r="113">
      <c r="A113" s="2" t="inlineStr">
        <is>
          <t xml:space="preserve">2026-11-10-10</t>
        </is>
      </c>
      <c r="B113" s="4">
        <v>46336</v>
      </c>
      <c r="C113" s="3" t="inlineStr">
        <is>
          <t xml:space="preserve">Salı</t>
        </is>
      </c>
      <c r="D113" s="3" t="inlineStr">
        <is>
          <t xml:space="preserve">CMPE421</t>
        </is>
      </c>
      <c r="E113" s="3" t="inlineStr">
        <is>
          <t xml:space="preserve">Ext</t>
        </is>
      </c>
      <c r="F113" s="3" t="inlineStr">
        <is>
          <t xml:space="preserve">P3</t>
        </is>
      </c>
      <c r="G113" s="6">
        <v>8</v>
      </c>
      <c r="H113" s="2" t="inlineStr">
        <is>
          <t xml:space="preserve">Tekrar (kapalı kitap aktif hatırlama, konu başına ~8 dk): Intro to AI + intelligent agents (D+7)</t>
        </is>
      </c>
      <c r="I113" s="2"/>
      <c r="J113" s="7" t="inlineStr">
        <is>
          <t xml:space="preserve">Not Started</t>
        </is>
      </c>
      <c r="K113" s="7"/>
      <c r="L113" s="3"/>
    </row>
    <row r="114">
      <c r="A114" s="2" t="inlineStr">
        <is>
          <t xml:space="preserve">2026-11-10-11</t>
        </is>
      </c>
      <c r="B114" s="4">
        <v>46336</v>
      </c>
      <c r="C114" s="3" t="inlineStr">
        <is>
          <t xml:space="preserve">Salı</t>
        </is>
      </c>
      <c r="D114" s="3" t="inlineStr">
        <is>
          <t xml:space="preserve">CMPE371</t>
        </is>
      </c>
      <c r="E114" s="3" t="inlineStr">
        <is>
          <t xml:space="preserve">Ext</t>
        </is>
      </c>
      <c r="F114" s="3" t="inlineStr">
        <is>
          <t xml:space="preserve">P3</t>
        </is>
      </c>
      <c r="G114" s="6">
        <v>8</v>
      </c>
      <c r="H114" s="2" t="inlineStr">
        <is>
          <t xml:space="preserve">Tekrar (kapalı kitap aktif hatırlama, konu başına ~8 dk): Special signals (D+7)</t>
        </is>
      </c>
      <c r="I114" s="2"/>
      <c r="J114" s="7" t="inlineStr">
        <is>
          <t xml:space="preserve">Not Started</t>
        </is>
      </c>
      <c r="K114" s="7"/>
      <c r="L114" s="3"/>
    </row>
    <row r="115">
      <c r="A115" s="2" t="inlineStr">
        <is>
          <t xml:space="preserve">2026-11-11-01</t>
        </is>
      </c>
      <c r="B115" s="4">
        <v>46337</v>
      </c>
      <c r="C115" s="3" t="inlineStr">
        <is>
          <t xml:space="preserve">Çarşamba</t>
        </is>
      </c>
      <c r="D115" s="3" t="inlineStr">
        <is>
          <t xml:space="preserve">CMPE453</t>
        </is>
      </c>
      <c r="E115" s="3" t="inlineStr">
        <is>
          <t xml:space="preserve">Min</t>
        </is>
      </c>
      <c r="F115" s="3" t="inlineStr">
        <is>
          <t xml:space="preserve">P1</t>
        </is>
      </c>
      <c r="G115" s="6">
        <v>90</v>
      </c>
      <c r="H115" s="2" t="inlineStr">
        <is>
          <t xml:space="preserve">Vize provası (register/kod) — M1–M7 karma. ▸ 15 soru / 90 dk, süreli (kağıt)</t>
        </is>
      </c>
      <c r="I115" s="2" t="inlineStr">
        <is>
          <t xml:space="preserve">Elliot (syllabus: Ch.1–10) + STM32 Manual + hoca slaytı — Materyal bekleniyor</t>
        </is>
      </c>
      <c r="J115" s="7" t="inlineStr">
        <is>
          <t xml:space="preserve">Not Started</t>
        </is>
      </c>
      <c r="K115" s="7"/>
      <c r="L115" s="3"/>
    </row>
    <row r="116">
      <c r="A116" s="2" t="inlineStr">
        <is>
          <t xml:space="preserve">2026-11-11-02</t>
        </is>
      </c>
      <c r="B116" s="4">
        <v>46337</v>
      </c>
      <c r="C116" s="3" t="inlineStr">
        <is>
          <t xml:space="preserve">Çarşamba</t>
        </is>
      </c>
      <c r="D116" s="3" t="inlineStr">
        <is>
          <t xml:space="preserve">CMPE453</t>
        </is>
      </c>
      <c r="E116" s="3" t="inlineStr">
        <is>
          <t xml:space="preserve">Min</t>
        </is>
      </c>
      <c r="F116" s="3" t="inlineStr">
        <is>
          <t xml:space="preserve">P1</t>
        </is>
      </c>
      <c r="G116" s="6">
        <v>40</v>
      </c>
      <c r="H116" s="2" t="inlineStr">
        <is>
          <t xml:space="preserve">Prova yanlış analizi — sebep etiketle. ▸ yanlış konulardan 6 yeni soru</t>
        </is>
      </c>
      <c r="I116" s="2" t="inlineStr">
        <is>
          <t xml:space="preserve">Elliot (syllabus: Ch.1–10) + STM32 Manual + hoca slaytı — Materyal bekleniyor</t>
        </is>
      </c>
      <c r="J116" s="7" t="inlineStr">
        <is>
          <t xml:space="preserve">Not Started</t>
        </is>
      </c>
      <c r="K116" s="7"/>
      <c r="L116" s="3"/>
    </row>
    <row r="117">
      <c r="A117" s="2" t="inlineStr">
        <is>
          <t xml:space="preserve">2026-11-11-03</t>
        </is>
      </c>
      <c r="B117" s="4">
        <v>46337</v>
      </c>
      <c r="C117" s="3" t="inlineStr">
        <is>
          <t xml:space="preserve">Çarşamba</t>
        </is>
      </c>
      <c r="D117" s="3" t="inlineStr">
        <is>
          <t xml:space="preserve">CMPE327</t>
        </is>
      </c>
      <c r="E117" s="3" t="inlineStr">
        <is>
          <t xml:space="preserve">Ext</t>
        </is>
      </c>
      <c r="F117" s="3" t="inlineStr">
        <is>
          <t xml:space="preserve">P2</t>
        </is>
      </c>
      <c r="G117" s="6">
        <v>70</v>
      </c>
      <c r="H117" s="2" t="inlineStr">
        <is>
          <t xml:space="preserve">Context-free grammars — CFG tanımı, türetme, ayrıştırma ağacı. ▸ 8 CFG tasarla</t>
        </is>
      </c>
      <c r="I117" s="2" t="inlineStr">
        <is>
          <t xml:space="preserve">Hoca slaytı + ders kitabı (syllabus'ta belirtilmemiş: Materyal bekleniyor) — Materyal bekleniyor</t>
        </is>
      </c>
      <c r="J117" s="7" t="inlineStr">
        <is>
          <t xml:space="preserve">Not Started</t>
        </is>
      </c>
      <c r="K117" s="7"/>
      <c r="L117" s="3"/>
    </row>
    <row r="118">
      <c r="A118" s="2" t="inlineStr">
        <is>
          <t xml:space="preserve">2026-11-11-04</t>
        </is>
      </c>
      <c r="B118" s="4">
        <v>46337</v>
      </c>
      <c r="C118" s="3" t="inlineStr">
        <is>
          <t xml:space="preserve">Çarşamba</t>
        </is>
      </c>
      <c r="D118" s="3" t="inlineStr">
        <is>
          <t xml:space="preserve">CMPE421</t>
        </is>
      </c>
      <c r="E118" s="3" t="inlineStr">
        <is>
          <t xml:space="preserve">Ext</t>
        </is>
      </c>
      <c r="F118" s="3" t="inlineStr">
        <is>
          <t xml:space="preserve">P3</t>
        </is>
      </c>
      <c r="G118" s="6">
        <v>80</v>
      </c>
      <c r="H118" s="2" t="inlineStr">
        <is>
          <t xml:space="preserve">Knowledge representation — önerme mantığı, çıkarım, FOL temelleri. ▸ 10 mantık sorusu</t>
        </is>
      </c>
      <c r="I118" s="2" t="inlineStr">
        <is>
          <t xml:space="preserve">Hoca slaytı (syllabus kitap belirtmiyor: Materyal bekleniyor) — Materyal bekleniyor</t>
        </is>
      </c>
      <c r="J118" s="7" t="inlineStr">
        <is>
          <t xml:space="preserve">Not Started</t>
        </is>
      </c>
      <c r="K118" s="7"/>
      <c r="L118" s="3"/>
    </row>
    <row r="119">
      <c r="A119" s="2" t="inlineStr">
        <is>
          <t xml:space="preserve">2026-11-11-05</t>
        </is>
      </c>
      <c r="B119" s="4">
        <v>46337</v>
      </c>
      <c r="C119" s="3" t="inlineStr">
        <is>
          <t xml:space="preserve">Çarşamba</t>
        </is>
      </c>
      <c r="D119" s="3" t="inlineStr">
        <is>
          <t xml:space="preserve">CMPE327</t>
        </is>
      </c>
      <c r="E119" s="3" t="inlineStr">
        <is>
          <t xml:space="preserve">Min</t>
        </is>
      </c>
      <c r="F119" s="3" t="inlineStr">
        <is>
          <t xml:space="preserve">P3</t>
        </is>
      </c>
      <c r="G119" s="6">
        <v>16</v>
      </c>
      <c r="H119" s="2" t="inlineStr">
        <is>
          <t xml:space="preserve">Tekrar (kapalı kitap aktif hatırlama, konu başına ~8 dk): Derivatives + regex denkliği (D+1); DFA state minimization (D+3)</t>
        </is>
      </c>
      <c r="I119" s="2"/>
      <c r="J119" s="7" t="inlineStr">
        <is>
          <t xml:space="preserve">Not Started</t>
        </is>
      </c>
      <c r="K119" s="7"/>
      <c r="L119" s="3"/>
    </row>
    <row r="120">
      <c r="A120" s="2" t="inlineStr">
        <is>
          <t xml:space="preserve">2026-11-11-06</t>
        </is>
      </c>
      <c r="B120" s="4">
        <v>46337</v>
      </c>
      <c r="C120" s="3" t="inlineStr">
        <is>
          <t xml:space="preserve">Çarşamba</t>
        </is>
      </c>
      <c r="D120" s="3" t="inlineStr">
        <is>
          <t xml:space="preserve">CMPE421</t>
        </is>
      </c>
      <c r="E120" s="3" t="inlineStr">
        <is>
          <t xml:space="preserve">Min</t>
        </is>
      </c>
      <c r="F120" s="3" t="inlineStr">
        <is>
          <t xml:space="preserve">P3</t>
        </is>
      </c>
      <c r="G120" s="6">
        <v>16</v>
      </c>
      <c r="H120" s="2" t="inlineStr">
        <is>
          <t xml:space="preserve">Tekrar (kapalı kitap aktif hatırlama, konu başına ~8 dk): Planning (D+1); Game playing (D+3)</t>
        </is>
      </c>
      <c r="I120" s="2"/>
      <c r="J120" s="7" t="inlineStr">
        <is>
          <t xml:space="preserve">Not Started</t>
        </is>
      </c>
      <c r="K120" s="7"/>
      <c r="L120" s="3"/>
    </row>
    <row r="121">
      <c r="A121" s="2" t="inlineStr">
        <is>
          <t xml:space="preserve">2026-11-11-07</t>
        </is>
      </c>
      <c r="B121" s="4">
        <v>46337</v>
      </c>
      <c r="C121" s="3" t="inlineStr">
        <is>
          <t xml:space="preserve">Çarşamba</t>
        </is>
      </c>
      <c r="D121" s="3" t="inlineStr">
        <is>
          <t xml:space="preserve">CMPE453</t>
        </is>
      </c>
      <c r="E121" s="3" t="inlineStr">
        <is>
          <t xml:space="preserve">Min</t>
        </is>
      </c>
      <c r="F121" s="3" t="inlineStr">
        <is>
          <t xml:space="preserve">P2</t>
        </is>
      </c>
      <c r="G121" s="6">
        <v>16</v>
      </c>
      <c r="H121" s="2" t="inlineStr">
        <is>
          <t xml:space="preserve">Tekrar (kapalı kitap aktif hatırlama, konu başına ~8 dk): ADC (D+1); USART (D+3)</t>
        </is>
      </c>
      <c r="I121" s="2"/>
      <c r="J121" s="7" t="inlineStr">
        <is>
          <t xml:space="preserve">Not Started</t>
        </is>
      </c>
      <c r="K121" s="7"/>
      <c r="L121" s="3"/>
    </row>
    <row r="122">
      <c r="A122" s="2" t="inlineStr">
        <is>
          <t xml:space="preserve">2026-11-11-08</t>
        </is>
      </c>
      <c r="B122" s="4">
        <v>46337</v>
      </c>
      <c r="C122" s="3" t="inlineStr">
        <is>
          <t xml:space="preserve">Çarşamba</t>
        </is>
      </c>
      <c r="D122" s="3" t="inlineStr">
        <is>
          <t xml:space="preserve">CMPE371</t>
        </is>
      </c>
      <c r="E122" s="3" t="inlineStr">
        <is>
          <t xml:space="preserve">Min</t>
        </is>
      </c>
      <c r="F122" s="3" t="inlineStr">
        <is>
          <t xml:space="preserve">P3</t>
        </is>
      </c>
      <c r="G122" s="6">
        <v>8</v>
      </c>
      <c r="H122" s="2" t="inlineStr">
        <is>
          <t xml:space="preserve">Tekrar (kapalı kitap aktif hatırlama, konu başına ~8 dk): CTFS (D+3)</t>
        </is>
      </c>
      <c r="I122" s="2"/>
      <c r="J122" s="7" t="inlineStr">
        <is>
          <t xml:space="preserve">Not Started</t>
        </is>
      </c>
      <c r="K122" s="7"/>
      <c r="L122" s="3"/>
    </row>
    <row r="123">
      <c r="A123" s="2" t="inlineStr">
        <is>
          <t xml:space="preserve">2026-11-11-09</t>
        </is>
      </c>
      <c r="B123" s="4">
        <v>46337</v>
      </c>
      <c r="C123" s="3" t="inlineStr">
        <is>
          <t xml:space="preserve">Çarşamba</t>
        </is>
      </c>
      <c r="D123" s="3" t="inlineStr">
        <is>
          <t xml:space="preserve">CMPE327</t>
        </is>
      </c>
      <c r="E123" s="3" t="inlineStr">
        <is>
          <t xml:space="preserve">Ext</t>
        </is>
      </c>
      <c r="F123" s="3" t="inlineStr">
        <is>
          <t xml:space="preserve">P3</t>
        </is>
      </c>
      <c r="G123" s="6">
        <v>8</v>
      </c>
      <c r="H123" s="2" t="inlineStr">
        <is>
          <t xml:space="preserve">Tekrar (kapalı kitap aktif hatırlama, konu başına ~8 dk): NFA ve ε-NFA (D+7)</t>
        </is>
      </c>
      <c r="I123" s="2"/>
      <c r="J123" s="7" t="inlineStr">
        <is>
          <t xml:space="preserve">Not Started</t>
        </is>
      </c>
      <c r="K123" s="7"/>
      <c r="L123" s="3"/>
    </row>
    <row r="124">
      <c r="A124" s="2" t="inlineStr">
        <is>
          <t xml:space="preserve">2026-11-11-10</t>
        </is>
      </c>
      <c r="B124" s="4">
        <v>46337</v>
      </c>
      <c r="C124" s="3" t="inlineStr">
        <is>
          <t xml:space="preserve">Çarşamba</t>
        </is>
      </c>
      <c r="D124" s="3" t="inlineStr">
        <is>
          <t xml:space="preserve">CMPE421</t>
        </is>
      </c>
      <c r="E124" s="3" t="inlineStr">
        <is>
          <t xml:space="preserve">Ext</t>
        </is>
      </c>
      <c r="F124" s="3" t="inlineStr">
        <is>
          <t xml:space="preserve">P3</t>
        </is>
      </c>
      <c r="G124" s="6">
        <v>8</v>
      </c>
      <c r="H124" s="2" t="inlineStr">
        <is>
          <t xml:space="preserve">Tekrar (kapalı kitap aktif hatırlama, konu başına ~8 dk): Problem solving + uninformed search (D+7)</t>
        </is>
      </c>
      <c r="I124" s="2"/>
      <c r="J124" s="7" t="inlineStr">
        <is>
          <t xml:space="preserve">Not Started</t>
        </is>
      </c>
      <c r="K124" s="7"/>
      <c r="L124" s="3"/>
    </row>
    <row r="125">
      <c r="A125" s="2" t="inlineStr">
        <is>
          <t xml:space="preserve">2026-11-11-11</t>
        </is>
      </c>
      <c r="B125" s="4">
        <v>46337</v>
      </c>
      <c r="C125" s="3" t="inlineStr">
        <is>
          <t xml:space="preserve">Çarşamba</t>
        </is>
      </c>
      <c r="D125" s="3" t="inlineStr">
        <is>
          <t xml:space="preserve">CMPE453</t>
        </is>
      </c>
      <c r="E125" s="3" t="inlineStr">
        <is>
          <t xml:space="preserve">Ext</t>
        </is>
      </c>
      <c r="F125" s="3" t="inlineStr">
        <is>
          <t xml:space="preserve">P2</t>
        </is>
      </c>
      <c r="G125" s="6">
        <v>8</v>
      </c>
      <c r="H125" s="2" t="inlineStr">
        <is>
          <t xml:space="preserve">Tekrar (kapalı kitap aktif hatırlama, konu başına ~8 dk): Course overview + ATmega328P architecture (D+7)</t>
        </is>
      </c>
      <c r="I125" s="2"/>
      <c r="J125" s="7" t="inlineStr">
        <is>
          <t xml:space="preserve">Not Started</t>
        </is>
      </c>
      <c r="K125" s="7"/>
      <c r="L125" s="3"/>
    </row>
    <row r="126">
      <c r="A126" s="2" t="inlineStr">
        <is>
          <t xml:space="preserve">2026-11-11-12</t>
        </is>
      </c>
      <c r="B126" s="4">
        <v>46337</v>
      </c>
      <c r="C126" s="3" t="inlineStr">
        <is>
          <t xml:space="preserve">Çarşamba</t>
        </is>
      </c>
      <c r="D126" s="3" t="inlineStr">
        <is>
          <t xml:space="preserve">CMPE371</t>
        </is>
      </c>
      <c r="E126" s="3" t="inlineStr">
        <is>
          <t xml:space="preserve">Ext</t>
        </is>
      </c>
      <c r="F126" s="3" t="inlineStr">
        <is>
          <t xml:space="preserve">P3</t>
        </is>
      </c>
      <c r="G126" s="6">
        <v>8</v>
      </c>
      <c r="H126" s="2" t="inlineStr">
        <is>
          <t xml:space="preserve">Tekrar (kapalı kitap aktif hatırlama, konu başına ~8 dk): System properties (D+7)</t>
        </is>
      </c>
      <c r="I126" s="2"/>
      <c r="J126" s="7" t="inlineStr">
        <is>
          <t xml:space="preserve">Not Started</t>
        </is>
      </c>
      <c r="K126" s="7"/>
      <c r="L126" s="3"/>
    </row>
    <row r="127">
      <c r="A127" s="2" t="inlineStr">
        <is>
          <t xml:space="preserve">2026-11-12-01</t>
        </is>
      </c>
      <c r="B127" s="4">
        <v>46338</v>
      </c>
      <c r="C127" s="3" t="inlineStr">
        <is>
          <t xml:space="preserve">Perşembe</t>
        </is>
      </c>
      <c r="D127" s="3" t="inlineStr">
        <is>
          <t xml:space="preserve">CMPE453</t>
        </is>
      </c>
      <c r="E127" s="3" t="inlineStr">
        <is>
          <t xml:space="preserve">Min</t>
        </is>
      </c>
      <c r="F127" s="3" t="inlineStr">
        <is>
          <t xml:space="preserve">P1</t>
        </is>
      </c>
      <c r="G127" s="6">
        <v>60</v>
      </c>
      <c r="H127" s="2" t="inlineStr">
        <is>
          <t xml:space="preserve">Vize son tekrar (gündüz) — register tabloları, formüller (UBRR, ADC), bit kalıpları. ▸ Tek sayfa özeti belleğten yaz; 12 hızlı soru</t>
        </is>
      </c>
      <c r="I127" s="2" t="inlineStr">
        <is>
          <t xml:space="preserve">Elliot (syllabus: Ch.1–10) + STM32 Manual + hoca slaytı — Materyal bekleniyor</t>
        </is>
      </c>
      <c r="J127" s="7" t="inlineStr">
        <is>
          <t xml:space="preserve">Not Started</t>
        </is>
      </c>
      <c r="K127" s="7"/>
      <c r="L127" s="3"/>
    </row>
    <row r="128">
      <c r="A128" s="2" t="inlineStr">
        <is>
          <t xml:space="preserve">2026-11-12-02</t>
        </is>
      </c>
      <c r="B128" s="4">
        <v>46338</v>
      </c>
      <c r="C128" s="3" t="inlineStr">
        <is>
          <t xml:space="preserve">Perşembe</t>
        </is>
      </c>
      <c r="D128" s="3" t="inlineStr">
        <is>
          <t xml:space="preserve">CMPE327</t>
        </is>
      </c>
      <c r="E128" s="3" t="inlineStr">
        <is>
          <t xml:space="preserve">Ext</t>
        </is>
      </c>
      <c r="F128" s="3" t="inlineStr">
        <is>
          <t xml:space="preserve">P1</t>
        </is>
      </c>
      <c r="G128" s="6">
        <v>60</v>
      </c>
      <c r="H128" s="2" t="inlineStr">
        <is>
          <t xml:space="preserve">Ambiguity + DFA eşdeğerlik kontrolü — belirsiz gramer, belirsizlik giderme; DFA denklik. ▸ 4 gramer + 3 denklik kontrolü</t>
        </is>
      </c>
      <c r="I128" s="2" t="inlineStr">
        <is>
          <t xml:space="preserve">Hoca slaytı + ders kitabı (syllabus'ta belirtilmemiş: Materyal bekleniyor) — Materyal bekleniyor</t>
        </is>
      </c>
      <c r="J128" s="7" t="inlineStr">
        <is>
          <t xml:space="preserve">Not Started</t>
        </is>
      </c>
      <c r="K128" s="7"/>
      <c r="L128" s="3"/>
    </row>
    <row r="129">
      <c r="A129" s="2" t="inlineStr">
        <is>
          <t xml:space="preserve">2026-11-12-03</t>
        </is>
      </c>
      <c r="B129" s="4">
        <v>46338</v>
      </c>
      <c r="C129" s="3" t="inlineStr">
        <is>
          <t xml:space="preserve">Perşembe</t>
        </is>
      </c>
      <c r="D129" s="3" t="inlineStr">
        <is>
          <t xml:space="preserve">CMPE327</t>
        </is>
      </c>
      <c r="E129" s="3" t="inlineStr">
        <is>
          <t xml:space="preserve">Ext</t>
        </is>
      </c>
      <c r="F129" s="3" t="inlineStr">
        <is>
          <t xml:space="preserve">P1</t>
        </is>
      </c>
      <c r="G129" s="6">
        <v>60</v>
      </c>
      <c r="H129" s="2" t="inlineStr">
        <is>
          <t xml:space="preserve">Vize karma tekrar 2 — A7–A12. ▸ 15 soru</t>
        </is>
      </c>
      <c r="I129" s="2" t="inlineStr">
        <is>
          <t xml:space="preserve">Hoca slaytı + ders kitabı (syllabus'ta belirtilmemiş: Materyal bekleniyor) — Materyal bekleniyor</t>
        </is>
      </c>
      <c r="J129" s="7" t="inlineStr">
        <is>
          <t xml:space="preserve">Not Started</t>
        </is>
      </c>
      <c r="K129" s="7"/>
      <c r="L129" s="3"/>
    </row>
    <row r="130">
      <c r="A130" s="2" t="inlineStr">
        <is>
          <t xml:space="preserve">2026-11-12-04</t>
        </is>
      </c>
      <c r="B130" s="4">
        <v>46338</v>
      </c>
      <c r="C130" s="3" t="inlineStr">
        <is>
          <t xml:space="preserve">Perşembe</t>
        </is>
      </c>
      <c r="D130" s="3" t="inlineStr">
        <is>
          <t xml:space="preserve">CMPE421</t>
        </is>
      </c>
      <c r="E130" s="3" t="inlineStr">
        <is>
          <t xml:space="preserve">Ext</t>
        </is>
      </c>
      <c r="F130" s="3" t="inlineStr">
        <is>
          <t xml:space="preserve">P3</t>
        </is>
      </c>
      <c r="G130" s="6">
        <v>80</v>
      </c>
      <c r="H130" s="2" t="inlineStr">
        <is>
          <t xml:space="preserve">Theorem proving — CNF dönüşümü, çözümleme (resolution), birleştirme. ▸ 5 resolution ispatı</t>
        </is>
      </c>
      <c r="I130" s="2" t="inlineStr">
        <is>
          <t xml:space="preserve">Hoca slaytı (syllabus kitap belirtmiyor: Materyal bekleniyor) — Materyal bekleniyor</t>
        </is>
      </c>
      <c r="J130" s="7" t="inlineStr">
        <is>
          <t xml:space="preserve">Not Started</t>
        </is>
      </c>
      <c r="K130" s="7"/>
      <c r="L130" s="3"/>
    </row>
    <row r="131">
      <c r="A131" s="2" t="inlineStr">
        <is>
          <t xml:space="preserve">2026-11-12-05</t>
        </is>
      </c>
      <c r="B131" s="4">
        <v>46338</v>
      </c>
      <c r="C131" s="3" t="inlineStr">
        <is>
          <t xml:space="preserve">Perşembe</t>
        </is>
      </c>
      <c r="D131" s="3" t="inlineStr">
        <is>
          <t xml:space="preserve">CMPE327</t>
        </is>
      </c>
      <c r="E131" s="3" t="inlineStr">
        <is>
          <t xml:space="preserve">Min</t>
        </is>
      </c>
      <c r="F131" s="3" t="inlineStr">
        <is>
          <t xml:space="preserve">P2</t>
        </is>
      </c>
      <c r="G131" s="6">
        <v>16</v>
      </c>
      <c r="H131" s="2" t="inlineStr">
        <is>
          <t xml:space="preserve">Tekrar (kapalı kitap aktif hatırlama, konu başına ~8 dk): Context-free grammars (D+1); Myhill–Nerode (D+3)</t>
        </is>
      </c>
      <c r="I131" s="2"/>
      <c r="J131" s="7" t="inlineStr">
        <is>
          <t xml:space="preserve">Not Started</t>
        </is>
      </c>
      <c r="K131" s="7"/>
      <c r="L131" s="3"/>
    </row>
    <row r="132">
      <c r="A132" s="2" t="inlineStr">
        <is>
          <t xml:space="preserve">2026-11-12-06</t>
        </is>
      </c>
      <c r="B132" s="4">
        <v>46338</v>
      </c>
      <c r="C132" s="3" t="inlineStr">
        <is>
          <t xml:space="preserve">Perşembe</t>
        </is>
      </c>
      <c r="D132" s="3" t="inlineStr">
        <is>
          <t xml:space="preserve">CMPE421</t>
        </is>
      </c>
      <c r="E132" s="3" t="inlineStr">
        <is>
          <t xml:space="preserve">Min</t>
        </is>
      </c>
      <c r="F132" s="3" t="inlineStr">
        <is>
          <t xml:space="preserve">P3</t>
        </is>
      </c>
      <c r="G132" s="6">
        <v>16</v>
      </c>
      <c r="H132" s="2" t="inlineStr">
        <is>
          <t xml:space="preserve">Tekrar (kapalı kitap aktif hatırlama, konu başına ~8 dk): Knowledge representation (D+1); CSP (D+3)</t>
        </is>
      </c>
      <c r="I132" s="2"/>
      <c r="J132" s="7" t="inlineStr">
        <is>
          <t xml:space="preserve">Not Started</t>
        </is>
      </c>
      <c r="K132" s="7"/>
      <c r="L132" s="3"/>
    </row>
    <row r="133">
      <c r="A133" s="2" t="inlineStr">
        <is>
          <t xml:space="preserve">2026-11-12-07</t>
        </is>
      </c>
      <c r="B133" s="4">
        <v>46338</v>
      </c>
      <c r="C133" s="3" t="inlineStr">
        <is>
          <t xml:space="preserve">Perşembe</t>
        </is>
      </c>
      <c r="D133" s="3" t="inlineStr">
        <is>
          <t xml:space="preserve">CMPE453</t>
        </is>
      </c>
      <c r="E133" s="3" t="inlineStr">
        <is>
          <t xml:space="preserve">Min</t>
        </is>
      </c>
      <c r="F133" s="3" t="inlineStr">
        <is>
          <t xml:space="preserve">P2</t>
        </is>
      </c>
      <c r="G133" s="6">
        <v>8</v>
      </c>
      <c r="H133" s="2" t="inlineStr">
        <is>
          <t xml:space="preserve">Tekrar (kapalı kitap aktif hatırlama, konu başına ~8 dk): SPI ve I2C (D+3)</t>
        </is>
      </c>
      <c r="I133" s="2"/>
      <c r="J133" s="7" t="inlineStr">
        <is>
          <t xml:space="preserve">Not Started</t>
        </is>
      </c>
      <c r="K133" s="7"/>
      <c r="L133" s="3"/>
    </row>
    <row r="134">
      <c r="A134" s="2" t="inlineStr">
        <is>
          <t xml:space="preserve">2026-11-12-08</t>
        </is>
      </c>
      <c r="B134" s="4">
        <v>46338</v>
      </c>
      <c r="C134" s="3" t="inlineStr">
        <is>
          <t xml:space="preserve">Perşembe</t>
        </is>
      </c>
      <c r="D134" s="3" t="inlineStr">
        <is>
          <t xml:space="preserve">CMPE327</t>
        </is>
      </c>
      <c r="E134" s="3" t="inlineStr">
        <is>
          <t xml:space="preserve">Ext</t>
        </is>
      </c>
      <c r="F134" s="3" t="inlineStr">
        <is>
          <t xml:space="preserve">P2</t>
        </is>
      </c>
      <c r="G134" s="6">
        <v>8</v>
      </c>
      <c r="H134" s="2" t="inlineStr">
        <is>
          <t xml:space="preserve">Tekrar (kapalı kitap aktif hatırlama, konu başına ~8 dk): DFA ≡ NFA (altküme yapısı) (D+7)</t>
        </is>
      </c>
      <c r="I134" s="2"/>
      <c r="J134" s="7" t="inlineStr">
        <is>
          <t xml:space="preserve">Not Started</t>
        </is>
      </c>
      <c r="K134" s="7"/>
      <c r="L134" s="3"/>
    </row>
    <row r="135">
      <c r="A135" s="2" t="inlineStr">
        <is>
          <t xml:space="preserve">2026-11-12-09</t>
        </is>
      </c>
      <c r="B135" s="4">
        <v>46338</v>
      </c>
      <c r="C135" s="3" t="inlineStr">
        <is>
          <t xml:space="preserve">Perşembe</t>
        </is>
      </c>
      <c r="D135" s="3" t="inlineStr">
        <is>
          <t xml:space="preserve">CMPE453</t>
        </is>
      </c>
      <c r="E135" s="3" t="inlineStr">
        <is>
          <t xml:space="preserve">Ext</t>
        </is>
      </c>
      <c r="F135" s="3" t="inlineStr">
        <is>
          <t xml:space="preserve">P2</t>
        </is>
      </c>
      <c r="G135" s="6">
        <v>8</v>
      </c>
      <c r="H135" s="2" t="inlineStr">
        <is>
          <t xml:space="preserve">Tekrar (kapalı kitap aktif hatırlama, konu başına ~8 dk): Programming AVR (C + bit işlemleri) (D+7)</t>
        </is>
      </c>
      <c r="I135" s="2"/>
      <c r="J135" s="7" t="inlineStr">
        <is>
          <t xml:space="preserve">Not Started</t>
        </is>
      </c>
      <c r="K135" s="7"/>
      <c r="L135" s="3"/>
    </row>
    <row r="136">
      <c r="A136" s="2" t="inlineStr">
        <is>
          <t xml:space="preserve">2026-11-12-10</t>
        </is>
      </c>
      <c r="B136" s="4">
        <v>46338</v>
      </c>
      <c r="C136" s="3" t="inlineStr">
        <is>
          <t xml:space="preserve">Perşembe</t>
        </is>
      </c>
      <c r="D136" s="3" t="inlineStr">
        <is>
          <t xml:space="preserve">CMPE371</t>
        </is>
      </c>
      <c r="E136" s="3" t="inlineStr">
        <is>
          <t xml:space="preserve">Ext</t>
        </is>
      </c>
      <c r="F136" s="3" t="inlineStr">
        <is>
          <t xml:space="preserve">P3</t>
        </is>
      </c>
      <c r="G136" s="6">
        <v>16</v>
      </c>
      <c r="H136" s="2" t="inlineStr">
        <is>
          <t xml:space="preserve">Tekrar (kapalı kitap aktif hatırlama, konu başına ~8 dk): LTI I: ayrık konvolüsyon (D+7); LTI II: sürekli konvolüsyon (D+7)</t>
        </is>
      </c>
      <c r="I136" s="2"/>
      <c r="J136" s="7" t="inlineStr">
        <is>
          <t xml:space="preserve">Not Started</t>
        </is>
      </c>
      <c r="K136" s="7"/>
      <c r="L136" s="3"/>
    </row>
    <row r="137">
      <c r="A137" s="2" t="inlineStr">
        <is>
          <t xml:space="preserve">2026-11-13-01</t>
        </is>
      </c>
      <c r="B137" s="4">
        <v>46339</v>
      </c>
      <c r="C137" s="3" t="inlineStr">
        <is>
          <t xml:space="preserve">Cuma</t>
        </is>
      </c>
      <c r="D137" s="3" t="inlineStr">
        <is>
          <t xml:space="preserve">CMPE327</t>
        </is>
      </c>
      <c r="E137" s="3" t="inlineStr">
        <is>
          <t xml:space="preserve">Min</t>
        </is>
      </c>
      <c r="F137" s="3" t="inlineStr">
        <is>
          <t xml:space="preserve">P1</t>
        </is>
      </c>
      <c r="G137" s="6">
        <v>90</v>
      </c>
      <c r="H137" s="2" t="inlineStr">
        <is>
          <t xml:space="preserve">Vize provası — A1–A12 karma. ▸ 8 soru / 90 dk, süreli</t>
        </is>
      </c>
      <c r="I137" s="2" t="inlineStr">
        <is>
          <t xml:space="preserve">Hoca slaytı + ders kitabı (syllabus'ta belirtilmemiş: Materyal bekleniyor) — Materyal bekleniyor</t>
        </is>
      </c>
      <c r="J137" s="7" t="inlineStr">
        <is>
          <t xml:space="preserve">Not Started</t>
        </is>
      </c>
      <c r="K137" s="7"/>
      <c r="L137" s="3"/>
    </row>
    <row r="138">
      <c r="A138" s="2" t="inlineStr">
        <is>
          <t xml:space="preserve">2026-11-13-02</t>
        </is>
      </c>
      <c r="B138" s="4">
        <v>46339</v>
      </c>
      <c r="C138" s="3" t="inlineStr">
        <is>
          <t xml:space="preserve">Cuma</t>
        </is>
      </c>
      <c r="D138" s="3" t="inlineStr">
        <is>
          <t xml:space="preserve">CMPE499</t>
        </is>
      </c>
      <c r="E138" s="3" t="inlineStr">
        <is>
          <t xml:space="preserve">Min</t>
        </is>
      </c>
      <c r="F138" s="3" t="inlineStr">
        <is>
          <t xml:space="preserve">P3</t>
        </is>
      </c>
      <c r="G138" s="6">
        <v>60</v>
      </c>
      <c r="H138" s="2" t="inlineStr">
        <is>
          <t xml:space="preserve">Rapor: taslak 4 + sonuç — kazanımlar, sonuç, tamamlanmamış kısımlar. ▸ Taslağı bitir</t>
        </is>
      </c>
      <c r="I138" s="2"/>
      <c r="J138" s="7" t="inlineStr">
        <is>
          <t xml:space="preserve">Not Started</t>
        </is>
      </c>
      <c r="K138" s="7"/>
      <c r="L138" s="3" t="inlineStr">
        <is>
          <t xml:space="preserve">★</t>
        </is>
      </c>
    </row>
    <row r="139">
      <c r="A139" s="2" t="inlineStr">
        <is>
          <t xml:space="preserve">2026-11-13-03</t>
        </is>
      </c>
      <c r="B139" s="4">
        <v>46339</v>
      </c>
      <c r="C139" s="3" t="inlineStr">
        <is>
          <t xml:space="preserve">Cuma</t>
        </is>
      </c>
      <c r="D139" s="3" t="inlineStr">
        <is>
          <t xml:space="preserve">BIO110</t>
        </is>
      </c>
      <c r="E139" s="3" t="inlineStr">
        <is>
          <t xml:space="preserve">Min</t>
        </is>
      </c>
      <c r="F139" s="3" t="inlineStr">
        <is>
          <t xml:space="preserve">P3</t>
        </is>
      </c>
      <c r="G139" s="6">
        <v>80</v>
      </c>
      <c r="H139" s="2" t="inlineStr">
        <is>
          <t xml:space="preserve">The Cell Cycle and Cellular Reproduction — hücre döngüsü, mitoz evreleri, sitokinez, kontrol noktaları, siklin-CDK, kanser. ▸ Mitoz evreleri çizimi + 15 soru</t>
        </is>
      </c>
      <c r="I139" s="2" t="inlineStr">
        <is>
          <t xml:space="preserve">Campbell Biology (ilgili bölüm; baskıya göre numara değişir) + hoca slaytı — Materyal bekleniyor</t>
        </is>
      </c>
      <c r="J139" s="7" t="inlineStr">
        <is>
          <t xml:space="preserve">Not Started</t>
        </is>
      </c>
      <c r="K139" s="7"/>
      <c r="L139" s="3"/>
    </row>
    <row r="140">
      <c r="A140" s="2" t="inlineStr">
        <is>
          <t xml:space="preserve">2026-11-13-04</t>
        </is>
      </c>
      <c r="B140" s="4">
        <v>46339</v>
      </c>
      <c r="C140" s="3" t="inlineStr">
        <is>
          <t xml:space="preserve">Cuma</t>
        </is>
      </c>
      <c r="D140" s="3" t="inlineStr">
        <is>
          <t xml:space="preserve">CMPE327</t>
        </is>
      </c>
      <c r="E140" s="3" t="inlineStr">
        <is>
          <t xml:space="preserve">Ext</t>
        </is>
      </c>
      <c r="F140" s="3" t="inlineStr">
        <is>
          <t xml:space="preserve">P1</t>
        </is>
      </c>
      <c r="G140" s="6">
        <v>60</v>
      </c>
      <c r="H140" s="2" t="inlineStr">
        <is>
          <t xml:space="preserve">Karma tekrar (DFA-NFA-regex) — 15 Kas vizesi için. ▸ 20 kısa soru, süreli</t>
        </is>
      </c>
      <c r="I140" s="2" t="inlineStr">
        <is>
          <t xml:space="preserve">Hoca slaytı + ders kitabı (syllabus'ta belirtilmemiş: Materyal bekleniyor) — Materyal bekleniyor</t>
        </is>
      </c>
      <c r="J140" s="7" t="inlineStr">
        <is>
          <t xml:space="preserve">Not Started</t>
        </is>
      </c>
      <c r="K140" s="7"/>
      <c r="L140" s="3"/>
    </row>
    <row r="141">
      <c r="A141" s="2" t="inlineStr">
        <is>
          <t xml:space="preserve">2026-11-13-05</t>
        </is>
      </c>
      <c r="B141" s="4">
        <v>46339</v>
      </c>
      <c r="C141" s="3" t="inlineStr">
        <is>
          <t xml:space="preserve">Cuma</t>
        </is>
      </c>
      <c r="D141" s="3" t="inlineStr">
        <is>
          <t xml:space="preserve">CMPE327</t>
        </is>
      </c>
      <c r="E141" s="3" t="inlineStr">
        <is>
          <t xml:space="preserve">Min</t>
        </is>
      </c>
      <c r="F141" s="3" t="inlineStr">
        <is>
          <t xml:space="preserve">P2</t>
        </is>
      </c>
      <c r="G141" s="6">
        <v>16</v>
      </c>
      <c r="H141" s="2" t="inlineStr">
        <is>
          <t xml:space="preserve">Tekrar (kapalı kitap aktif hatırlama, konu başına ~8 dk): Ambiguity + DFA eşdeğerlik kontrolü (D+1); Derivatives + regex denkliği (D+3)</t>
        </is>
      </c>
      <c r="I141" s="2"/>
      <c r="J141" s="7" t="inlineStr">
        <is>
          <t xml:space="preserve">Not Started</t>
        </is>
      </c>
      <c r="K141" s="7"/>
      <c r="L141" s="3"/>
    </row>
    <row r="142">
      <c r="A142" s="2" t="inlineStr">
        <is>
          <t xml:space="preserve">2026-11-13-06</t>
        </is>
      </c>
      <c r="B142" s="4">
        <v>46339</v>
      </c>
      <c r="C142" s="3" t="inlineStr">
        <is>
          <t xml:space="preserve">Cuma</t>
        </is>
      </c>
      <c r="D142" s="3" t="inlineStr">
        <is>
          <t xml:space="preserve">CMPE421</t>
        </is>
      </c>
      <c r="E142" s="3" t="inlineStr">
        <is>
          <t xml:space="preserve">Min</t>
        </is>
      </c>
      <c r="F142" s="3" t="inlineStr">
        <is>
          <t xml:space="preserve">P3</t>
        </is>
      </c>
      <c r="G142" s="6">
        <v>16</v>
      </c>
      <c r="H142" s="2" t="inlineStr">
        <is>
          <t xml:space="preserve">Tekrar (kapalı kitap aktif hatırlama, konu başına ~8 dk): Theorem proving (D+1); Planning (D+3)</t>
        </is>
      </c>
      <c r="I142" s="2"/>
      <c r="J142" s="7" t="inlineStr">
        <is>
          <t xml:space="preserve">Not Started</t>
        </is>
      </c>
      <c r="K142" s="7"/>
      <c r="L142" s="3"/>
    </row>
    <row r="143">
      <c r="A143" s="2" t="inlineStr">
        <is>
          <t xml:space="preserve">2026-11-13-07</t>
        </is>
      </c>
      <c r="B143" s="4">
        <v>46339</v>
      </c>
      <c r="C143" s="3" t="inlineStr">
        <is>
          <t xml:space="preserve">Cuma</t>
        </is>
      </c>
      <c r="D143" s="3" t="inlineStr">
        <is>
          <t xml:space="preserve">CMPE453</t>
        </is>
      </c>
      <c r="E143" s="3" t="inlineStr">
        <is>
          <t xml:space="preserve">Min</t>
        </is>
      </c>
      <c r="F143" s="3" t="inlineStr">
        <is>
          <t xml:space="preserve">P3</t>
        </is>
      </c>
      <c r="G143" s="6">
        <v>8</v>
      </c>
      <c r="H143" s="2" t="inlineStr">
        <is>
          <t xml:space="preserve">Tekrar (kapalı kitap aktif hatırlama, konu başına ~8 dk): ADC (D+3)</t>
        </is>
      </c>
      <c r="I143" s="2"/>
      <c r="J143" s="7" t="inlineStr">
        <is>
          <t xml:space="preserve">Not Started</t>
        </is>
      </c>
      <c r="K143" s="7"/>
      <c r="L143" s="3"/>
    </row>
    <row r="144">
      <c r="A144" s="2" t="inlineStr">
        <is>
          <t xml:space="preserve">2026-11-13-08</t>
        </is>
      </c>
      <c r="B144" s="4">
        <v>46339</v>
      </c>
      <c r="C144" s="3" t="inlineStr">
        <is>
          <t xml:space="preserve">Cuma</t>
        </is>
      </c>
      <c r="D144" s="3" t="inlineStr">
        <is>
          <t xml:space="preserve">CMPE327</t>
        </is>
      </c>
      <c r="E144" s="3" t="inlineStr">
        <is>
          <t xml:space="preserve">Ext</t>
        </is>
      </c>
      <c r="F144" s="3" t="inlineStr">
        <is>
          <t xml:space="preserve">P2</t>
        </is>
      </c>
      <c r="G144" s="6">
        <v>16</v>
      </c>
      <c r="H144" s="2" t="inlineStr">
        <is>
          <t xml:space="preserve">Tekrar (kapalı kitap aktif hatırlama, konu başına ~8 dk): Closure properties (D+7); Central concepts + mathematical preliminaries (D+14)</t>
        </is>
      </c>
      <c r="I144" s="2"/>
      <c r="J144" s="7" t="inlineStr">
        <is>
          <t xml:space="preserve">Not Started</t>
        </is>
      </c>
      <c r="K144" s="7"/>
      <c r="L144" s="3"/>
    </row>
    <row r="145">
      <c r="A145" s="2" t="inlineStr">
        <is>
          <t xml:space="preserve">2026-11-13-09</t>
        </is>
      </c>
      <c r="B145" s="4">
        <v>46339</v>
      </c>
      <c r="C145" s="3" t="inlineStr">
        <is>
          <t xml:space="preserve">Cuma</t>
        </is>
      </c>
      <c r="D145" s="3" t="inlineStr">
        <is>
          <t xml:space="preserve">CMPE453</t>
        </is>
      </c>
      <c r="E145" s="3" t="inlineStr">
        <is>
          <t xml:space="preserve">Ext</t>
        </is>
      </c>
      <c r="F145" s="3" t="inlineStr">
        <is>
          <t xml:space="preserve">P3</t>
        </is>
      </c>
      <c r="G145" s="6">
        <v>8</v>
      </c>
      <c r="H145" s="2" t="inlineStr">
        <is>
          <t xml:space="preserve">Tekrar (kapalı kitap aktif hatırlama, konu başına ~8 dk): AVR I/O portları (D+7)</t>
        </is>
      </c>
      <c r="I145" s="2"/>
      <c r="J145" s="7" t="inlineStr">
        <is>
          <t xml:space="preserve">Not Started</t>
        </is>
      </c>
      <c r="K145" s="7"/>
      <c r="L145" s="3"/>
    </row>
    <row r="146">
      <c r="A146" s="2" t="inlineStr">
        <is>
          <t xml:space="preserve">2026-11-13-10</t>
        </is>
      </c>
      <c r="B146" s="4">
        <v>46339</v>
      </c>
      <c r="C146" s="3" t="inlineStr">
        <is>
          <t xml:space="preserve">Cuma</t>
        </is>
      </c>
      <c r="D146" s="3" t="inlineStr">
        <is>
          <t xml:space="preserve">CMPE371</t>
        </is>
      </c>
      <c r="E146" s="3" t="inlineStr">
        <is>
          <t xml:space="preserve">Ext</t>
        </is>
      </c>
      <c r="F146" s="3" t="inlineStr">
        <is>
          <t xml:space="preserve">P3</t>
        </is>
      </c>
      <c r="G146" s="6">
        <v>16</v>
      </c>
      <c r="H146" s="2" t="inlineStr">
        <is>
          <t xml:space="preserve">Tekrar (kapalı kitap aktif hatırlama, konu başına ~8 dk): LTI III: özellikler (D+7); Önkoşul: karmaşık sayılar ve Euler (D+14)</t>
        </is>
      </c>
      <c r="I146" s="2"/>
      <c r="J146" s="7" t="inlineStr">
        <is>
          <t xml:space="preserve">Not Started</t>
        </is>
      </c>
      <c r="K146" s="7"/>
      <c r="L146" s="3"/>
    </row>
    <row r="147">
      <c r="A147" s="2" t="inlineStr">
        <is>
          <t xml:space="preserve">2026-11-13-11</t>
        </is>
      </c>
      <c r="B147" s="4">
        <v>46339</v>
      </c>
      <c r="C147" s="3" t="inlineStr">
        <is>
          <t xml:space="preserve">Cuma</t>
        </is>
      </c>
      <c r="D147" s="3" t="inlineStr">
        <is>
          <t xml:space="preserve">BIO110</t>
        </is>
      </c>
      <c r="E147" s="3" t="inlineStr">
        <is>
          <t xml:space="preserve">Ext</t>
        </is>
      </c>
      <c r="F147" s="3" t="inlineStr">
        <is>
          <t xml:space="preserve">P3</t>
        </is>
      </c>
      <c r="G147" s="6">
        <v>24</v>
      </c>
      <c r="H147" s="2" t="inlineStr">
        <is>
          <t xml:space="preserve">Tekrar (kapalı kitap aktif hatırlama, konu başına ~8 dk): The Chemical Context of Life (D+14); Water and Life (D+14); Carbon and Molecular Diversity (D+14)</t>
        </is>
      </c>
      <c r="I147" s="2"/>
      <c r="J147" s="7" t="inlineStr">
        <is>
          <t xml:space="preserve">Not Started</t>
        </is>
      </c>
      <c r="K147" s="7"/>
      <c r="L147" s="3"/>
    </row>
    <row r="148">
      <c r="A148" s="2" t="inlineStr">
        <is>
          <t xml:space="preserve">2026-11-14-01</t>
        </is>
      </c>
      <c r="B148" s="4">
        <v>46340</v>
      </c>
      <c r="C148" s="3" t="inlineStr">
        <is>
          <t xml:space="preserve">Cumartesi</t>
        </is>
      </c>
      <c r="D148" s="3" t="inlineStr">
        <is>
          <t xml:space="preserve">CMPE327</t>
        </is>
      </c>
      <c r="E148" s="3" t="inlineStr">
        <is>
          <t xml:space="preserve">Min</t>
        </is>
      </c>
      <c r="F148" s="3" t="inlineStr">
        <is>
          <t xml:space="preserve">P1</t>
        </is>
      </c>
      <c r="G148" s="6">
        <v>40</v>
      </c>
      <c r="H148" s="2" t="inlineStr">
        <is>
          <t xml:space="preserve">Prova yanlış analizi — sebep etiketle. ▸ yanlış konulardan 6 yeni soru</t>
        </is>
      </c>
      <c r="I148" s="2" t="inlineStr">
        <is>
          <t xml:space="preserve">Hoca slaytı + ders kitabı (syllabus'ta belirtilmemiş: Materyal bekleniyor) — Materyal bekleniyor</t>
        </is>
      </c>
      <c r="J148" s="7" t="inlineStr">
        <is>
          <t xml:space="preserve">Not Started</t>
        </is>
      </c>
      <c r="K148" s="7"/>
      <c r="L148" s="3"/>
    </row>
    <row r="149">
      <c r="A149" s="2" t="inlineStr">
        <is>
          <t xml:space="preserve">2026-11-14-02</t>
        </is>
      </c>
      <c r="B149" s="4">
        <v>46340</v>
      </c>
      <c r="C149" s="3" t="inlineStr">
        <is>
          <t xml:space="preserve">Cumartesi</t>
        </is>
      </c>
      <c r="D149" s="3" t="inlineStr">
        <is>
          <t xml:space="preserve">CMPE327</t>
        </is>
      </c>
      <c r="E149" s="3" t="inlineStr">
        <is>
          <t xml:space="preserve">Min</t>
        </is>
      </c>
      <c r="F149" s="3" t="inlineStr">
        <is>
          <t xml:space="preserve">P1</t>
        </is>
      </c>
      <c r="G149" s="6">
        <v>60</v>
      </c>
      <c r="H149" s="2" t="inlineStr">
        <is>
          <t xml:space="preserve">Vize son tekrar — algoritma adımları (altküme, minimizasyon, regex dönüşümü). ▸ her algoritmayı 1 kez baştan sona uygula</t>
        </is>
      </c>
      <c r="I149" s="2" t="inlineStr">
        <is>
          <t xml:space="preserve">Hoca slaytı + ders kitabı (syllabus'ta belirtilmemiş: Materyal bekleniyor) — Materyal bekleniyor</t>
        </is>
      </c>
      <c r="J149" s="7" t="inlineStr">
        <is>
          <t xml:space="preserve">Not Started</t>
        </is>
      </c>
      <c r="K149" s="7"/>
      <c r="L149" s="3"/>
    </row>
    <row r="150">
      <c r="A150" s="2" t="inlineStr">
        <is>
          <t xml:space="preserve">2026-11-14-03</t>
        </is>
      </c>
      <c r="B150" s="4">
        <v>46340</v>
      </c>
      <c r="C150" s="3" t="inlineStr">
        <is>
          <t xml:space="preserve">Cumartesi</t>
        </is>
      </c>
      <c r="D150" s="3" t="inlineStr">
        <is>
          <t xml:space="preserve">BIO110</t>
        </is>
      </c>
      <c r="E150" s="3" t="inlineStr">
        <is>
          <t xml:space="preserve">Min</t>
        </is>
      </c>
      <c r="F150" s="3" t="inlineStr">
        <is>
          <t xml:space="preserve">P3</t>
        </is>
      </c>
      <c r="G150" s="6">
        <v>90</v>
      </c>
      <c r="H150" s="2" t="inlineStr">
        <is>
          <t xml:space="preserve">Mendel and the Gene Idea — Mendel yasaları, Punnett, test cross, dihibrit, olasılık kuralları, baskınlık türleri. ▸ 10 genetik problem (kolaydan zora) + 10 soru</t>
        </is>
      </c>
      <c r="I150" s="2" t="inlineStr">
        <is>
          <t xml:space="preserve">Campbell Biology (ilgili bölüm; baskıya göre numara değişir) + hoca slaytı — Materyal bekleniyor</t>
        </is>
      </c>
      <c r="J150" s="7" t="inlineStr">
        <is>
          <t xml:space="preserve">Not Started</t>
        </is>
      </c>
      <c r="K150" s="7"/>
      <c r="L150" s="3"/>
    </row>
    <row r="151">
      <c r="A151" s="2" t="inlineStr">
        <is>
          <t xml:space="preserve">2026-11-14-04</t>
        </is>
      </c>
      <c r="B151" s="4">
        <v>46340</v>
      </c>
      <c r="C151" s="3" t="inlineStr">
        <is>
          <t xml:space="preserve">Cumartesi</t>
        </is>
      </c>
      <c r="D151" s="3" t="inlineStr">
        <is>
          <t xml:space="preserve">CMPE421</t>
        </is>
      </c>
      <c r="E151" s="3" t="inlineStr">
        <is>
          <t xml:space="preserve">Ext</t>
        </is>
      </c>
      <c r="F151" s="3" t="inlineStr">
        <is>
          <t xml:space="preserve">P2</t>
        </is>
      </c>
      <c r="G151" s="6">
        <v>80</v>
      </c>
      <c r="H151" s="2" t="inlineStr">
        <is>
          <t xml:space="preserve">Uncertainty — olasılık, Bayes kuralı, Bayes ağları temeli. ▸ 8 olasılık problemi</t>
        </is>
      </c>
      <c r="I151" s="2" t="inlineStr">
        <is>
          <t xml:space="preserve">Hoca slaytı (syllabus kitap belirtmiyor: Materyal bekleniyor) — Materyal bekleniyor</t>
        </is>
      </c>
      <c r="J151" s="7" t="inlineStr">
        <is>
          <t xml:space="preserve">Not Started</t>
        </is>
      </c>
      <c r="K151" s="7"/>
      <c r="L151" s="3"/>
    </row>
    <row r="152">
      <c r="A152" s="2" t="inlineStr">
        <is>
          <t xml:space="preserve">2026-11-14-05</t>
        </is>
      </c>
      <c r="B152" s="4">
        <v>46340</v>
      </c>
      <c r="C152" s="3" t="inlineStr">
        <is>
          <t xml:space="preserve">Cumartesi</t>
        </is>
      </c>
      <c r="D152" s="3" t="inlineStr">
        <is>
          <t xml:space="preserve">BIO110</t>
        </is>
      </c>
      <c r="E152" s="3" t="inlineStr">
        <is>
          <t xml:space="preserve">Min</t>
        </is>
      </c>
      <c r="F152" s="3" t="inlineStr">
        <is>
          <t xml:space="preserve">P3</t>
        </is>
      </c>
      <c r="G152" s="6">
        <v>8</v>
      </c>
      <c r="H152" s="2" t="inlineStr">
        <is>
          <t xml:space="preserve">Tekrar (kapalı kitap aktif hatırlama, konu başına ~8 dk): The Cell Cycle and Cellular Reproduction (D+1)</t>
        </is>
      </c>
      <c r="I152" s="2"/>
      <c r="J152" s="7" t="inlineStr">
        <is>
          <t xml:space="preserve">Not Started</t>
        </is>
      </c>
      <c r="K152" s="7"/>
      <c r="L152" s="3"/>
    </row>
    <row r="153">
      <c r="A153" s="2" t="inlineStr">
        <is>
          <t xml:space="preserve">2026-11-14-06</t>
        </is>
      </c>
      <c r="B153" s="4">
        <v>46340</v>
      </c>
      <c r="C153" s="3" t="inlineStr">
        <is>
          <t xml:space="preserve">Cumartesi</t>
        </is>
      </c>
      <c r="D153" s="3" t="inlineStr">
        <is>
          <t xml:space="preserve">CMPE327</t>
        </is>
      </c>
      <c r="E153" s="3" t="inlineStr">
        <is>
          <t xml:space="preserve">Min</t>
        </is>
      </c>
      <c r="F153" s="3" t="inlineStr">
        <is>
          <t xml:space="preserve">P2</t>
        </is>
      </c>
      <c r="G153" s="6">
        <v>8</v>
      </c>
      <c r="H153" s="2" t="inlineStr">
        <is>
          <t xml:space="preserve">Tekrar (kapalı kitap aktif hatırlama, konu başına ~8 dk): Context-free grammars (D+3)</t>
        </is>
      </c>
      <c r="I153" s="2"/>
      <c r="J153" s="7" t="inlineStr">
        <is>
          <t xml:space="preserve">Not Started</t>
        </is>
      </c>
      <c r="K153" s="7"/>
      <c r="L153" s="3"/>
    </row>
    <row r="154">
      <c r="A154" s="2" t="inlineStr">
        <is>
          <t xml:space="preserve">2026-11-14-07</t>
        </is>
      </c>
      <c r="B154" s="4">
        <v>46340</v>
      </c>
      <c r="C154" s="3" t="inlineStr">
        <is>
          <t xml:space="preserve">Cumartesi</t>
        </is>
      </c>
      <c r="D154" s="3" t="inlineStr">
        <is>
          <t xml:space="preserve">CMPE421</t>
        </is>
      </c>
      <c r="E154" s="3" t="inlineStr">
        <is>
          <t xml:space="preserve">Min</t>
        </is>
      </c>
      <c r="F154" s="3" t="inlineStr">
        <is>
          <t xml:space="preserve">P3</t>
        </is>
      </c>
      <c r="G154" s="6">
        <v>8</v>
      </c>
      <c r="H154" s="2" t="inlineStr">
        <is>
          <t xml:space="preserve">Tekrar (kapalı kitap aktif hatırlama, konu başına ~8 dk): Knowledge representation (D+3)</t>
        </is>
      </c>
      <c r="I154" s="2"/>
      <c r="J154" s="7" t="inlineStr">
        <is>
          <t xml:space="preserve">Not Started</t>
        </is>
      </c>
      <c r="K154" s="7"/>
      <c r="L154" s="3"/>
    </row>
    <row r="155">
      <c r="A155" s="2" t="inlineStr">
        <is>
          <t xml:space="preserve">2026-11-14-08</t>
        </is>
      </c>
      <c r="B155" s="4">
        <v>46340</v>
      </c>
      <c r="C155" s="3" t="inlineStr">
        <is>
          <t xml:space="preserve">Cumartesi</t>
        </is>
      </c>
      <c r="D155" s="3" t="inlineStr">
        <is>
          <t xml:space="preserve">CMPE327</t>
        </is>
      </c>
      <c r="E155" s="3" t="inlineStr">
        <is>
          <t xml:space="preserve">Ext</t>
        </is>
      </c>
      <c r="F155" s="3" t="inlineStr">
        <is>
          <t xml:space="preserve">P2</t>
        </is>
      </c>
      <c r="G155" s="6">
        <v>16</v>
      </c>
      <c r="H155" s="2" t="inlineStr">
        <is>
          <t xml:space="preserve">Tekrar (kapalı kitap aktif hatırlama, konu başına ~8 dk): Regular expressions (D+7); DFA (D+14)</t>
        </is>
      </c>
      <c r="I155" s="2"/>
      <c r="J155" s="7" t="inlineStr">
        <is>
          <t xml:space="preserve">Not Started</t>
        </is>
      </c>
      <c r="K155" s="7"/>
      <c r="L155" s="3"/>
    </row>
    <row r="156">
      <c r="A156" s="2" t="inlineStr">
        <is>
          <t xml:space="preserve">2026-11-14-09</t>
        </is>
      </c>
      <c r="B156" s="4">
        <v>46340</v>
      </c>
      <c r="C156" s="3" t="inlineStr">
        <is>
          <t xml:space="preserve">Cumartesi</t>
        </is>
      </c>
      <c r="D156" s="3" t="inlineStr">
        <is>
          <t xml:space="preserve">CMPE421</t>
        </is>
      </c>
      <c r="E156" s="3" t="inlineStr">
        <is>
          <t xml:space="preserve">Ext</t>
        </is>
      </c>
      <c r="F156" s="3" t="inlineStr">
        <is>
          <t xml:space="preserve">P3</t>
        </is>
      </c>
      <c r="G156" s="6">
        <v>8</v>
      </c>
      <c r="H156" s="2" t="inlineStr">
        <is>
          <t xml:space="preserve">Tekrar (kapalı kitap aktif hatırlama, konu başına ~8 dk): Informed search (D+7)</t>
        </is>
      </c>
      <c r="I156" s="2"/>
      <c r="J156" s="7" t="inlineStr">
        <is>
          <t xml:space="preserve">Not Started</t>
        </is>
      </c>
      <c r="K156" s="7"/>
      <c r="L156" s="3"/>
    </row>
    <row r="157">
      <c r="A157" s="2" t="inlineStr">
        <is>
          <t xml:space="preserve">2026-11-14-10</t>
        </is>
      </c>
      <c r="B157" s="4">
        <v>46340</v>
      </c>
      <c r="C157" s="3" t="inlineStr">
        <is>
          <t xml:space="preserve">Cumartesi</t>
        </is>
      </c>
      <c r="D157" s="3" t="inlineStr">
        <is>
          <t xml:space="preserve">CMPE453</t>
        </is>
      </c>
      <c r="E157" s="3" t="inlineStr">
        <is>
          <t xml:space="preserve">Ext</t>
        </is>
      </c>
      <c r="F157" s="3" t="inlineStr">
        <is>
          <t xml:space="preserve">P3</t>
        </is>
      </c>
      <c r="G157" s="6">
        <v>8</v>
      </c>
      <c r="H157" s="2" t="inlineStr">
        <is>
          <t xml:space="preserve">Tekrar (kapalı kitap aktif hatırlama, konu başına ~8 dk): Digital input (D+7)</t>
        </is>
      </c>
      <c r="I157" s="2"/>
      <c r="J157" s="7" t="inlineStr">
        <is>
          <t xml:space="preserve">Not Started</t>
        </is>
      </c>
      <c r="K157" s="7"/>
      <c r="L157" s="3"/>
    </row>
    <row r="158">
      <c r="A158" s="2" t="inlineStr">
        <is>
          <t xml:space="preserve">2026-11-14-11</t>
        </is>
      </c>
      <c r="B158" s="4">
        <v>46340</v>
      </c>
      <c r="C158" s="3" t="inlineStr">
        <is>
          <t xml:space="preserve">Cumartesi</t>
        </is>
      </c>
      <c r="D158" s="3" t="inlineStr">
        <is>
          <t xml:space="preserve">CMPE371</t>
        </is>
      </c>
      <c r="E158" s="3" t="inlineStr">
        <is>
          <t xml:space="preserve">Ext</t>
        </is>
      </c>
      <c r="F158" s="3" t="inlineStr">
        <is>
          <t xml:space="preserve">P3</t>
        </is>
      </c>
      <c r="G158" s="6">
        <v>16</v>
      </c>
      <c r="H158" s="2" t="inlineStr">
        <is>
          <t xml:space="preserve">Tekrar (kapalı kitap aktif hatırlama, konu başına ~8 dk): Differential and difference equations (D+7); Önkoşul: trigonometri, üstel, türev/integral (D+14)</t>
        </is>
      </c>
      <c r="I158" s="2"/>
      <c r="J158" s="7" t="inlineStr">
        <is>
          <t xml:space="preserve">Not Started</t>
        </is>
      </c>
      <c r="K158" s="7"/>
      <c r="L158" s="3"/>
    </row>
    <row r="159">
      <c r="A159" s="2" t="inlineStr">
        <is>
          <t xml:space="preserve">2026-11-14-12</t>
        </is>
      </c>
      <c r="B159" s="4">
        <v>46340</v>
      </c>
      <c r="C159" s="3" t="inlineStr">
        <is>
          <t xml:space="preserve">Cumartesi</t>
        </is>
      </c>
      <c r="D159" s="3" t="inlineStr">
        <is>
          <t xml:space="preserve">BIO110</t>
        </is>
      </c>
      <c r="E159" s="3" t="inlineStr">
        <is>
          <t xml:space="preserve">Ext</t>
        </is>
      </c>
      <c r="F159" s="3" t="inlineStr">
        <is>
          <t xml:space="preserve">P3</t>
        </is>
      </c>
      <c r="G159" s="6">
        <v>24</v>
      </c>
      <c r="H159" s="2" t="inlineStr">
        <is>
          <t xml:space="preserve">Tekrar (kapalı kitap aktif hatırlama, konu başına ~8 dk): Büyük moleküller I: karbonhidrat + lipid (D+14); Büyük moleküller II: protein + nükleik asit (D+14); Hücre turu I (D+14)</t>
        </is>
      </c>
      <c r="I159" s="2"/>
      <c r="J159" s="7" t="inlineStr">
        <is>
          <t xml:space="preserve">Not Started</t>
        </is>
      </c>
      <c r="K159" s="7"/>
      <c r="L159" s="3"/>
    </row>
    <row r="160">
      <c r="A160" s="2" t="inlineStr">
        <is>
          <t xml:space="preserve">2026-11-15-01</t>
        </is>
      </c>
      <c r="B160" s="4">
        <v>46341</v>
      </c>
      <c r="C160" s="3" t="inlineStr">
        <is>
          <t xml:space="preserve">Pazar</t>
        </is>
      </c>
      <c r="D160" s="3" t="inlineStr">
        <is>
          <t xml:space="preserve">CMPE327</t>
        </is>
      </c>
      <c r="E160" s="3" t="inlineStr">
        <is>
          <t xml:space="preserve">Min</t>
        </is>
      </c>
      <c r="F160" s="3" t="inlineStr">
        <is>
          <t xml:space="preserve">P1</t>
        </is>
      </c>
      <c r="G160" s="6">
        <v>45</v>
      </c>
      <c r="H160" s="2" t="inlineStr">
        <is>
          <t xml:space="preserve">Vize günü hafif tekrar — özet kartları, yeni konu yok. ▸ 10 hızlı soru</t>
        </is>
      </c>
      <c r="I160" s="2" t="inlineStr">
        <is>
          <t xml:space="preserve">Hoca slaytı + ders kitabı (syllabus'ta belirtilmemiş: Materyal bekleniyor) — Materyal bekleniyor</t>
        </is>
      </c>
      <c r="J160" s="7" t="inlineStr">
        <is>
          <t xml:space="preserve">Not Started</t>
        </is>
      </c>
      <c r="K160" s="7"/>
      <c r="L160" s="3"/>
    </row>
    <row r="161">
      <c r="A161" s="2" t="inlineStr">
        <is>
          <t xml:space="preserve">2026-11-15-02</t>
        </is>
      </c>
      <c r="B161" s="4">
        <v>46341</v>
      </c>
      <c r="C161" s="3" t="inlineStr">
        <is>
          <t xml:space="preserve">Pazar</t>
        </is>
      </c>
      <c r="D161" s="3" t="inlineStr">
        <is>
          <t xml:space="preserve">CMPE371</t>
        </is>
      </c>
      <c r="E161" s="3" t="inlineStr">
        <is>
          <t xml:space="preserve">Min</t>
        </is>
      </c>
      <c r="F161" s="3" t="inlineStr">
        <is>
          <t xml:space="preserve">P3</t>
        </is>
      </c>
      <c r="G161" s="6">
        <v>100</v>
      </c>
      <c r="H161" s="2" t="inlineStr">
        <is>
          <t xml:space="preserve">CTFT — tanım, standart çiftler, özellikler (kaydırma, ölçekleme, konvolüsyon), frekans yanıtı. ▸ 6 dönüşüm + 4 özellik sorusu</t>
        </is>
      </c>
      <c r="I161" s="2" t="inlineStr">
        <is>
          <t xml:space="preserve">Hoca slaytı + ders kitabı (syllabus'ta belirtilmemiş: Materyal bekleniyor) — Materyal bekleniyor</t>
        </is>
      </c>
      <c r="J161" s="7" t="inlineStr">
        <is>
          <t xml:space="preserve">Not Started</t>
        </is>
      </c>
      <c r="K161" s="7"/>
      <c r="L161" s="3"/>
    </row>
    <row r="162">
      <c r="A162" s="2" t="inlineStr">
        <is>
          <t xml:space="preserve">2026-11-15-03</t>
        </is>
      </c>
      <c r="B162" s="4">
        <v>46341</v>
      </c>
      <c r="C162" s="3" t="inlineStr">
        <is>
          <t xml:space="preserve">Pazar</t>
        </is>
      </c>
      <c r="D162" s="3" t="inlineStr">
        <is>
          <t xml:space="preserve">BIO110</t>
        </is>
      </c>
      <c r="E162" s="3" t="inlineStr">
        <is>
          <t xml:space="preserve">Min</t>
        </is>
      </c>
      <c r="F162" s="3" t="inlineStr">
        <is>
          <t xml:space="preserve">P3</t>
        </is>
      </c>
      <c r="G162" s="6">
        <v>90</v>
      </c>
      <c r="H162" s="2" t="inlineStr">
        <is>
          <t xml:space="preserve">Chromosomal Basis of Inheritance — bağlantılı genler, rekombinasyon sıklığı, eşeye bağlı kalıtım, nondisjunction. ▸ 8 problem + 10 soru</t>
        </is>
      </c>
      <c r="I162" s="2" t="inlineStr">
        <is>
          <t xml:space="preserve">Campbell Biology (ilgili bölüm; baskıya göre numara değişir) + hoca slaytı — Materyal bekleniyor</t>
        </is>
      </c>
      <c r="J162" s="7" t="inlineStr">
        <is>
          <t xml:space="preserve">Not Started</t>
        </is>
      </c>
      <c r="K162" s="7"/>
      <c r="L162" s="3"/>
    </row>
    <row r="163">
      <c r="A163" s="2" t="inlineStr">
        <is>
          <t xml:space="preserve">2026-11-15-04</t>
        </is>
      </c>
      <c r="B163" s="4">
        <v>46341</v>
      </c>
      <c r="C163" s="3" t="inlineStr">
        <is>
          <t xml:space="preserve">Pazar</t>
        </is>
      </c>
      <c r="D163" s="3" t="inlineStr">
        <is>
          <t xml:space="preserve">CMPE499</t>
        </is>
      </c>
      <c r="E163" s="3" t="inlineStr">
        <is>
          <t xml:space="preserve">Ext</t>
        </is>
      </c>
      <c r="F163" s="3" t="inlineStr">
        <is>
          <t xml:space="preserve">P2</t>
        </is>
      </c>
      <c r="G163" s="6">
        <v>45</v>
      </c>
      <c r="H163" s="2" t="inlineStr">
        <is>
          <t xml:space="preserve">Rapor: okuma 1 — yazım, tutarlılık, teknik doğruluk. ▸ Baştan sona oku, düzelt</t>
        </is>
      </c>
      <c r="I163" s="2"/>
      <c r="J163" s="7" t="inlineStr">
        <is>
          <t xml:space="preserve">Not Started</t>
        </is>
      </c>
      <c r="K163" s="7"/>
      <c r="L163" s="3" t="inlineStr">
        <is>
          <t xml:space="preserve">★</t>
        </is>
      </c>
    </row>
    <row r="164">
      <c r="A164" s="2" t="inlineStr">
        <is>
          <t xml:space="preserve">2026-11-15-05</t>
        </is>
      </c>
      <c r="B164" s="4">
        <v>46341</v>
      </c>
      <c r="C164" s="3" t="inlineStr">
        <is>
          <t xml:space="preserve">Pazar</t>
        </is>
      </c>
      <c r="D164" s="3" t="inlineStr">
        <is>
          <t xml:space="preserve">CMPE453</t>
        </is>
      </c>
      <c r="E164" s="3" t="inlineStr">
        <is>
          <t xml:space="preserve">Ext</t>
        </is>
      </c>
      <c r="F164" s="3" t="inlineStr">
        <is>
          <t xml:space="preserve">P3</t>
        </is>
      </c>
      <c r="G164" s="6">
        <v>80</v>
      </c>
      <c r="H164" s="2" t="inlineStr">
        <is>
          <t xml:space="preserve">Interrupts — vektör tablosu, ISR, SREG/I-bit, harici kesmeler. ▸ 5 ISR kod okuma + 3 yazma (kağıt)</t>
        </is>
      </c>
      <c r="I164" s="2" t="inlineStr">
        <is>
          <t xml:space="preserve">Elliot (syllabus: Ch.1–10) + STM32 Manual + hoca slaytı — Materyal bekleniyor</t>
        </is>
      </c>
      <c r="J164" s="7" t="inlineStr">
        <is>
          <t xml:space="preserve">Not Started</t>
        </is>
      </c>
      <c r="K164" s="7"/>
      <c r="L164" s="3"/>
    </row>
    <row r="165">
      <c r="A165" s="2" t="inlineStr">
        <is>
          <t xml:space="preserve">2026-11-15-06</t>
        </is>
      </c>
      <c r="B165" s="4">
        <v>46341</v>
      </c>
      <c r="C165" s="3" t="inlineStr">
        <is>
          <t xml:space="preserve">Pazar</t>
        </is>
      </c>
      <c r="D165" s="3" t="inlineStr">
        <is>
          <t xml:space="preserve">BIO110</t>
        </is>
      </c>
      <c r="E165" s="3" t="inlineStr">
        <is>
          <t xml:space="preserve">Min</t>
        </is>
      </c>
      <c r="F165" s="3" t="inlineStr">
        <is>
          <t xml:space="preserve">P3</t>
        </is>
      </c>
      <c r="G165" s="6">
        <v>8</v>
      </c>
      <c r="H165" s="2" t="inlineStr">
        <is>
          <t xml:space="preserve">Tekrar (kapalı kitap aktif hatırlama, konu başına ~8 dk): Mendel and the Gene Idea (D+1)</t>
        </is>
      </c>
      <c r="I165" s="2"/>
      <c r="J165" s="7" t="inlineStr">
        <is>
          <t xml:space="preserve">Not Started</t>
        </is>
      </c>
      <c r="K165" s="7"/>
      <c r="L165" s="3"/>
    </row>
    <row r="166">
      <c r="A166" s="2" t="inlineStr">
        <is>
          <t xml:space="preserve">2026-11-15-07</t>
        </is>
      </c>
      <c r="B166" s="4">
        <v>46341</v>
      </c>
      <c r="C166" s="3" t="inlineStr">
        <is>
          <t xml:space="preserve">Pazar</t>
        </is>
      </c>
      <c r="D166" s="3" t="inlineStr">
        <is>
          <t xml:space="preserve">CMPE421</t>
        </is>
      </c>
      <c r="E166" s="3" t="inlineStr">
        <is>
          <t xml:space="preserve">Min</t>
        </is>
      </c>
      <c r="F166" s="3" t="inlineStr">
        <is>
          <t xml:space="preserve">P3</t>
        </is>
      </c>
      <c r="G166" s="6">
        <v>16</v>
      </c>
      <c r="H166" s="2" t="inlineStr">
        <is>
          <t xml:space="preserve">Tekrar (kapalı kitap aktif hatırlama, konu başına ~8 dk): Uncertainty (D+1); Theorem proving (D+3)</t>
        </is>
      </c>
      <c r="I166" s="2"/>
      <c r="J166" s="7" t="inlineStr">
        <is>
          <t xml:space="preserve">Not Started</t>
        </is>
      </c>
      <c r="K166" s="7"/>
      <c r="L166" s="3"/>
    </row>
    <row r="167">
      <c r="A167" s="2" t="inlineStr">
        <is>
          <t xml:space="preserve">2026-11-15-08</t>
        </is>
      </c>
      <c r="B167" s="4">
        <v>46341</v>
      </c>
      <c r="C167" s="3" t="inlineStr">
        <is>
          <t xml:space="preserve">Pazar</t>
        </is>
      </c>
      <c r="D167" s="3" t="inlineStr">
        <is>
          <t xml:space="preserve">CMPE327</t>
        </is>
      </c>
      <c r="E167" s="3" t="inlineStr">
        <is>
          <t xml:space="preserve">Min</t>
        </is>
      </c>
      <c r="F167" s="3" t="inlineStr">
        <is>
          <t xml:space="preserve">P2</t>
        </is>
      </c>
      <c r="G167" s="6">
        <v>8</v>
      </c>
      <c r="H167" s="2" t="inlineStr">
        <is>
          <t xml:space="preserve">Tekrar (kapalı kitap aktif hatırlama, konu başına ~8 dk): Ambiguity + DFA eşdeğerlik kontrolü (D+3)</t>
        </is>
      </c>
      <c r="I167" s="2"/>
      <c r="J167" s="7" t="inlineStr">
        <is>
          <t xml:space="preserve">Not Started</t>
        </is>
      </c>
      <c r="K167" s="7"/>
      <c r="L167" s="3"/>
    </row>
    <row r="168">
      <c r="A168" s="2" t="inlineStr">
        <is>
          <t xml:space="preserve">2026-11-15-09</t>
        </is>
      </c>
      <c r="B168" s="4">
        <v>46341</v>
      </c>
      <c r="C168" s="3" t="inlineStr">
        <is>
          <t xml:space="preserve">Pazar</t>
        </is>
      </c>
      <c r="D168" s="3" t="inlineStr">
        <is>
          <t xml:space="preserve">CMPE327</t>
        </is>
      </c>
      <c r="E168" s="3" t="inlineStr">
        <is>
          <t xml:space="preserve">Ext</t>
        </is>
      </c>
      <c r="F168" s="3" t="inlineStr">
        <is>
          <t xml:space="preserve">P2</t>
        </is>
      </c>
      <c r="G168" s="6">
        <v>8</v>
      </c>
      <c r="H168" s="2" t="inlineStr">
        <is>
          <t xml:space="preserve">Tekrar (kapalı kitap aktif hatırlama, konu başına ~8 dk): DFA state minimization (D+7)</t>
        </is>
      </c>
      <c r="I168" s="2"/>
      <c r="J168" s="7" t="inlineStr">
        <is>
          <t xml:space="preserve">Not Started</t>
        </is>
      </c>
      <c r="K168" s="7"/>
      <c r="L168" s="3"/>
    </row>
    <row r="169">
      <c r="A169" s="2" t="inlineStr">
        <is>
          <t xml:space="preserve">2026-11-15-10</t>
        </is>
      </c>
      <c r="B169" s="4">
        <v>46341</v>
      </c>
      <c r="C169" s="3" t="inlineStr">
        <is>
          <t xml:space="preserve">Pazar</t>
        </is>
      </c>
      <c r="D169" s="3" t="inlineStr">
        <is>
          <t xml:space="preserve">CMPE421</t>
        </is>
      </c>
      <c r="E169" s="3" t="inlineStr">
        <is>
          <t xml:space="preserve">Ext</t>
        </is>
      </c>
      <c r="F169" s="3" t="inlineStr">
        <is>
          <t xml:space="preserve">P3</t>
        </is>
      </c>
      <c r="G169" s="6">
        <v>8</v>
      </c>
      <c r="H169" s="2" t="inlineStr">
        <is>
          <t xml:space="preserve">Tekrar (kapalı kitap aktif hatırlama, konu başına ~8 dk): Game playing (D+7)</t>
        </is>
      </c>
      <c r="I169" s="2"/>
      <c r="J169" s="7" t="inlineStr">
        <is>
          <t xml:space="preserve">Not Started</t>
        </is>
      </c>
      <c r="K169" s="7"/>
      <c r="L169" s="3"/>
    </row>
    <row r="170">
      <c r="A170" s="2" t="inlineStr">
        <is>
          <t xml:space="preserve">2026-11-15-11</t>
        </is>
      </c>
      <c r="B170" s="4">
        <v>46341</v>
      </c>
      <c r="C170" s="3" t="inlineStr">
        <is>
          <t xml:space="preserve">Pazar</t>
        </is>
      </c>
      <c r="D170" s="3" t="inlineStr">
        <is>
          <t xml:space="preserve">CMPE453</t>
        </is>
      </c>
      <c r="E170" s="3" t="inlineStr">
        <is>
          <t xml:space="preserve">Ext</t>
        </is>
      </c>
      <c r="F170" s="3" t="inlineStr">
        <is>
          <t xml:space="preserve">P3</t>
        </is>
      </c>
      <c r="G170" s="6">
        <v>8</v>
      </c>
      <c r="H170" s="2" t="inlineStr">
        <is>
          <t xml:space="preserve">Tekrar (kapalı kitap aktif hatırlama, konu başına ~8 dk): USART (D+7)</t>
        </is>
      </c>
      <c r="I170" s="2"/>
      <c r="J170" s="7" t="inlineStr">
        <is>
          <t xml:space="preserve">Not Started</t>
        </is>
      </c>
      <c r="K170" s="7"/>
      <c r="L170" s="3"/>
    </row>
    <row r="171">
      <c r="A171" s="2" t="inlineStr">
        <is>
          <t xml:space="preserve">2026-11-15-12</t>
        </is>
      </c>
      <c r="B171" s="4">
        <v>46341</v>
      </c>
      <c r="C171" s="3" t="inlineStr">
        <is>
          <t xml:space="preserve">Pazar</t>
        </is>
      </c>
      <c r="D171" s="3" t="inlineStr">
        <is>
          <t xml:space="preserve">CMPE371</t>
        </is>
      </c>
      <c r="E171" s="3" t="inlineStr">
        <is>
          <t xml:space="preserve">Ext</t>
        </is>
      </c>
      <c r="F171" s="3" t="inlineStr">
        <is>
          <t xml:space="preserve">P3</t>
        </is>
      </c>
      <c r="G171" s="6">
        <v>16</v>
      </c>
      <c r="H171" s="2" t="inlineStr">
        <is>
          <t xml:space="preserve">Tekrar (kapalı kitap aktif hatırlama, konu başına ~8 dk): CTFS (D+7); Introduction to Signals and Systems (D+14)</t>
        </is>
      </c>
      <c r="I171" s="2"/>
      <c r="J171" s="7" t="inlineStr">
        <is>
          <t xml:space="preserve">Not Started</t>
        </is>
      </c>
      <c r="K171" s="7"/>
      <c r="L171" s="3"/>
    </row>
    <row r="172">
      <c r="A172" s="2" t="inlineStr">
        <is>
          <t xml:space="preserve">2026-11-15-13</t>
        </is>
      </c>
      <c r="B172" s="4">
        <v>46341</v>
      </c>
      <c r="C172" s="3" t="inlineStr">
        <is>
          <t xml:space="preserve">Pazar</t>
        </is>
      </c>
      <c r="D172" s="3" t="inlineStr">
        <is>
          <t xml:space="preserve">BIO110</t>
        </is>
      </c>
      <c r="E172" s="3" t="inlineStr">
        <is>
          <t xml:space="preserve">Ext</t>
        </is>
      </c>
      <c r="F172" s="3" t="inlineStr">
        <is>
          <t xml:space="preserve">P3</t>
        </is>
      </c>
      <c r="G172" s="6">
        <v>32</v>
      </c>
      <c r="H172" s="2" t="inlineStr">
        <is>
          <t xml:space="preserve">Tekrar (kapalı kitap aktif hatırlama, konu başına ~8 dk): Hücre turu II (D+14); Membrane Structure and Function (D+14); An Introduction to Metabolism (D+14); Cellular Respiration (D+14)</t>
        </is>
      </c>
      <c r="I172" s="2"/>
      <c r="J172" s="7" t="inlineStr">
        <is>
          <t xml:space="preserve">Not Started</t>
        </is>
      </c>
      <c r="K172" s="7"/>
      <c r="L172" s="3"/>
    </row>
    <row r="173">
      <c r="A173" s="2" t="inlineStr">
        <is>
          <t xml:space="preserve">2026-11-16-01</t>
        </is>
      </c>
      <c r="B173" s="4">
        <v>46342</v>
      </c>
      <c r="C173" s="3" t="inlineStr">
        <is>
          <t xml:space="preserve">Pazartesi</t>
        </is>
      </c>
      <c r="D173" s="3" t="inlineStr">
        <is>
          <t xml:space="preserve">CMPE421</t>
        </is>
      </c>
      <c r="E173" s="3" t="inlineStr">
        <is>
          <t xml:space="preserve">Min</t>
        </is>
      </c>
      <c r="F173" s="3" t="inlineStr">
        <is>
          <t xml:space="preserve">P1</t>
        </is>
      </c>
      <c r="G173" s="6">
        <v>90</v>
      </c>
      <c r="H173" s="2" t="inlineStr">
        <is>
          <t xml:space="preserve">Vize provası — I1–I9 karma (kapsam doğrulanana kadar). ▸ 8 soru / 90 dk, süreli</t>
        </is>
      </c>
      <c r="I173" s="2" t="inlineStr">
        <is>
          <t xml:space="preserve">Hoca slaytı (syllabus kitap belirtmiyor: Materyal bekleniyor) — Materyal bekleniyor</t>
        </is>
      </c>
      <c r="J173" s="7" t="inlineStr">
        <is>
          <t xml:space="preserve">Not Started</t>
        </is>
      </c>
      <c r="K173" s="7"/>
      <c r="L173" s="3"/>
    </row>
    <row r="174">
      <c r="A174" s="2" t="inlineStr">
        <is>
          <t xml:space="preserve">2026-11-16-02</t>
        </is>
      </c>
      <c r="B174" s="4">
        <v>46342</v>
      </c>
      <c r="C174" s="3" t="inlineStr">
        <is>
          <t xml:space="preserve">Pazartesi</t>
        </is>
      </c>
      <c r="D174" s="3" t="inlineStr">
        <is>
          <t xml:space="preserve">BIO110</t>
        </is>
      </c>
      <c r="E174" s="3" t="inlineStr">
        <is>
          <t xml:space="preserve">Min</t>
        </is>
      </c>
      <c r="F174" s="3" t="inlineStr">
        <is>
          <t xml:space="preserve">P3</t>
        </is>
      </c>
      <c r="G174" s="6">
        <v>90</v>
      </c>
      <c r="H174" s="2" t="inlineStr">
        <is>
          <t xml:space="preserve">Molecular Basis of Inheritance — DNA yapısı, replikasyon (enzimler), onarım, telomer. ▸ Replikasyon çatalı çizimi + 15 soru</t>
        </is>
      </c>
      <c r="I174" s="2" t="inlineStr">
        <is>
          <t xml:space="preserve">Campbell Biology (ilgili bölüm; baskıya göre numara değişir) + hoca slaytı — Materyal bekleniyor</t>
        </is>
      </c>
      <c r="J174" s="7" t="inlineStr">
        <is>
          <t xml:space="preserve">Not Started</t>
        </is>
      </c>
      <c r="K174" s="7"/>
      <c r="L174" s="3"/>
    </row>
    <row r="175">
      <c r="A175" s="2" t="inlineStr">
        <is>
          <t xml:space="preserve">2026-11-16-03</t>
        </is>
      </c>
      <c r="B175" s="4">
        <v>46342</v>
      </c>
      <c r="C175" s="3" t="inlineStr">
        <is>
          <t xml:space="preserve">Pazartesi</t>
        </is>
      </c>
      <c r="D175" s="3" t="inlineStr">
        <is>
          <t xml:space="preserve">CMPE371</t>
        </is>
      </c>
      <c r="E175" s="3" t="inlineStr">
        <is>
          <t xml:space="preserve">Ext</t>
        </is>
      </c>
      <c r="F175" s="3" t="inlineStr">
        <is>
          <t xml:space="preserve">P2</t>
        </is>
      </c>
      <c r="G175" s="6">
        <v>60</v>
      </c>
      <c r="H175" s="2" t="inlineStr">
        <is>
          <t xml:space="preserve">CTFS/CTFT problem seti — karışık. ▸ 10 karma problem, çözüme bakmadan</t>
        </is>
      </c>
      <c r="I175" s="2" t="inlineStr">
        <is>
          <t xml:space="preserve">Hoca slaytı + ders kitabı (syllabus'ta belirtilmemiş: Materyal bekleniyor) — Materyal bekleniyor</t>
        </is>
      </c>
      <c r="J175" s="7" t="inlineStr">
        <is>
          <t xml:space="preserve">Not Started</t>
        </is>
      </c>
      <c r="K175" s="7"/>
      <c r="L175" s="3"/>
    </row>
    <row r="176">
      <c r="A176" s="2" t="inlineStr">
        <is>
          <t xml:space="preserve">2026-11-16-04</t>
        </is>
      </c>
      <c r="B176" s="4">
        <v>46342</v>
      </c>
      <c r="C176" s="3" t="inlineStr">
        <is>
          <t xml:space="preserve">Pazartesi</t>
        </is>
      </c>
      <c r="D176" s="3" t="inlineStr">
        <is>
          <t xml:space="preserve">CMPE499</t>
        </is>
      </c>
      <c r="E176" s="3" t="inlineStr">
        <is>
          <t xml:space="preserve">Ext</t>
        </is>
      </c>
      <c r="F176" s="3" t="inlineStr">
        <is>
          <t xml:space="preserve">P2</t>
        </is>
      </c>
      <c r="G176" s="6">
        <v>45</v>
      </c>
      <c r="H176" s="2" t="inlineStr">
        <is>
          <t xml:space="preserve">Rapor: format + kaynakça — yazı tipi, kenar, başlık stili, içindekiler, kaynakça. ▸ Yönerge kontrol listesi</t>
        </is>
      </c>
      <c r="I176" s="2"/>
      <c r="J176" s="7" t="inlineStr">
        <is>
          <t xml:space="preserve">Not Started</t>
        </is>
      </c>
      <c r="K176" s="7"/>
      <c r="L176" s="3" t="inlineStr">
        <is>
          <t xml:space="preserve">★</t>
        </is>
      </c>
    </row>
    <row r="177">
      <c r="A177" s="2" t="inlineStr">
        <is>
          <t xml:space="preserve">2026-11-16-05</t>
        </is>
      </c>
      <c r="B177" s="4">
        <v>46342</v>
      </c>
      <c r="C177" s="3" t="inlineStr">
        <is>
          <t xml:space="preserve">Pazartesi</t>
        </is>
      </c>
      <c r="D177" s="3" t="inlineStr">
        <is>
          <t xml:space="preserve">BIO110</t>
        </is>
      </c>
      <c r="E177" s="3" t="inlineStr">
        <is>
          <t xml:space="preserve">Min</t>
        </is>
      </c>
      <c r="F177" s="3" t="inlineStr">
        <is>
          <t xml:space="preserve">P3</t>
        </is>
      </c>
      <c r="G177" s="6">
        <v>16</v>
      </c>
      <c r="H177" s="2" t="inlineStr">
        <is>
          <t xml:space="preserve">Tekrar (kapalı kitap aktif hatırlama, konu başına ~8 dk): Chromosomal Basis of Inheritance (D+1); The Cell Cycle and Cellular Reproduction (D+3)</t>
        </is>
      </c>
      <c r="I177" s="2"/>
      <c r="J177" s="7" t="inlineStr">
        <is>
          <t xml:space="preserve">Not Started</t>
        </is>
      </c>
      <c r="K177" s="7"/>
      <c r="L177" s="3"/>
    </row>
    <row r="178">
      <c r="A178" s="2" t="inlineStr">
        <is>
          <t xml:space="preserve">2026-11-16-06</t>
        </is>
      </c>
      <c r="B178" s="4">
        <v>46342</v>
      </c>
      <c r="C178" s="3" t="inlineStr">
        <is>
          <t xml:space="preserve">Pazartesi</t>
        </is>
      </c>
      <c r="D178" s="3" t="inlineStr">
        <is>
          <t xml:space="preserve">CMPE453</t>
        </is>
      </c>
      <c r="E178" s="3" t="inlineStr">
        <is>
          <t xml:space="preserve">Min</t>
        </is>
      </c>
      <c r="F178" s="3" t="inlineStr">
        <is>
          <t xml:space="preserve">P3</t>
        </is>
      </c>
      <c r="G178" s="6">
        <v>8</v>
      </c>
      <c r="H178" s="2" t="inlineStr">
        <is>
          <t xml:space="preserve">Tekrar (kapalı kitap aktif hatırlama, konu başına ~8 dk): Interrupts (D+1)</t>
        </is>
      </c>
      <c r="I178" s="2"/>
      <c r="J178" s="7" t="inlineStr">
        <is>
          <t xml:space="preserve">Not Started</t>
        </is>
      </c>
      <c r="K178" s="7"/>
      <c r="L178" s="3"/>
    </row>
    <row r="179">
      <c r="A179" s="2" t="inlineStr">
        <is>
          <t xml:space="preserve">2026-11-16-07</t>
        </is>
      </c>
      <c r="B179" s="4">
        <v>46342</v>
      </c>
      <c r="C179" s="3" t="inlineStr">
        <is>
          <t xml:space="preserve">Pazartesi</t>
        </is>
      </c>
      <c r="D179" s="3" t="inlineStr">
        <is>
          <t xml:space="preserve">CMPE371</t>
        </is>
      </c>
      <c r="E179" s="3" t="inlineStr">
        <is>
          <t xml:space="preserve">Min</t>
        </is>
      </c>
      <c r="F179" s="3" t="inlineStr">
        <is>
          <t xml:space="preserve">P3</t>
        </is>
      </c>
      <c r="G179" s="6">
        <v>8</v>
      </c>
      <c r="H179" s="2" t="inlineStr">
        <is>
          <t xml:space="preserve">Tekrar (kapalı kitap aktif hatırlama, konu başına ~8 dk): CTFT (D+1)</t>
        </is>
      </c>
      <c r="I179" s="2"/>
      <c r="J179" s="7" t="inlineStr">
        <is>
          <t xml:space="preserve">Not Started</t>
        </is>
      </c>
      <c r="K179" s="7"/>
      <c r="L179" s="3"/>
    </row>
    <row r="180">
      <c r="A180" s="2" t="inlineStr">
        <is>
          <t xml:space="preserve">2026-11-16-08</t>
        </is>
      </c>
      <c r="B180" s="4">
        <v>46342</v>
      </c>
      <c r="C180" s="3" t="inlineStr">
        <is>
          <t xml:space="preserve">Pazartesi</t>
        </is>
      </c>
      <c r="D180" s="3" t="inlineStr">
        <is>
          <t xml:space="preserve">CMPE327</t>
        </is>
      </c>
      <c r="E180" s="3" t="inlineStr">
        <is>
          <t xml:space="preserve">Ext</t>
        </is>
      </c>
      <c r="F180" s="3" t="inlineStr">
        <is>
          <t xml:space="preserve">P3</t>
        </is>
      </c>
      <c r="G180" s="6">
        <v>8</v>
      </c>
      <c r="H180" s="2" t="inlineStr">
        <is>
          <t xml:space="preserve">Tekrar (kapalı kitap aktif hatırlama, konu başına ~8 dk): Myhill–Nerode (D+7)</t>
        </is>
      </c>
      <c r="I180" s="2"/>
      <c r="J180" s="7" t="inlineStr">
        <is>
          <t xml:space="preserve">Not Started</t>
        </is>
      </c>
      <c r="K180" s="7"/>
      <c r="L180" s="3"/>
    </row>
    <row r="181">
      <c r="A181" s="2" t="inlineStr">
        <is>
          <t xml:space="preserve">2026-11-16-09</t>
        </is>
      </c>
      <c r="B181" s="4">
        <v>46342</v>
      </c>
      <c r="C181" s="3" t="inlineStr">
        <is>
          <t xml:space="preserve">Pazartesi</t>
        </is>
      </c>
      <c r="D181" s="3" t="inlineStr">
        <is>
          <t xml:space="preserve">CMPE421</t>
        </is>
      </c>
      <c r="E181" s="3" t="inlineStr">
        <is>
          <t xml:space="preserve">Ext</t>
        </is>
      </c>
      <c r="F181" s="3" t="inlineStr">
        <is>
          <t xml:space="preserve">P3</t>
        </is>
      </c>
      <c r="G181" s="6">
        <v>8</v>
      </c>
      <c r="H181" s="2" t="inlineStr">
        <is>
          <t xml:space="preserve">Tekrar (kapalı kitap aktif hatırlama, konu başına ~8 dk): CSP (D+7)</t>
        </is>
      </c>
      <c r="I181" s="2"/>
      <c r="J181" s="7" t="inlineStr">
        <is>
          <t xml:space="preserve">Not Started</t>
        </is>
      </c>
      <c r="K181" s="7"/>
      <c r="L181" s="3"/>
    </row>
    <row r="182">
      <c r="A182" s="2" t="inlineStr">
        <is>
          <t xml:space="preserve">2026-11-16-10</t>
        </is>
      </c>
      <c r="B182" s="4">
        <v>46342</v>
      </c>
      <c r="C182" s="3" t="inlineStr">
        <is>
          <t xml:space="preserve">Pazartesi</t>
        </is>
      </c>
      <c r="D182" s="3" t="inlineStr">
        <is>
          <t xml:space="preserve">CMPE453</t>
        </is>
      </c>
      <c r="E182" s="3" t="inlineStr">
        <is>
          <t xml:space="preserve">Ext</t>
        </is>
      </c>
      <c r="F182" s="3" t="inlineStr">
        <is>
          <t xml:space="preserve">P3</t>
        </is>
      </c>
      <c r="G182" s="6">
        <v>8</v>
      </c>
      <c r="H182" s="2" t="inlineStr">
        <is>
          <t xml:space="preserve">Tekrar (kapalı kitap aktif hatırlama, konu başına ~8 dk): SPI ve I2C (D+7)</t>
        </is>
      </c>
      <c r="I182" s="2"/>
      <c r="J182" s="7" t="inlineStr">
        <is>
          <t xml:space="preserve">Not Started</t>
        </is>
      </c>
      <c r="K182" s="7"/>
      <c r="L182" s="3"/>
    </row>
    <row r="183">
      <c r="A183" s="2" t="inlineStr">
        <is>
          <t xml:space="preserve">2026-11-16-11</t>
        </is>
      </c>
      <c r="B183" s="4">
        <v>46342</v>
      </c>
      <c r="C183" s="3" t="inlineStr">
        <is>
          <t xml:space="preserve">Pazartesi</t>
        </is>
      </c>
      <c r="D183" s="3" t="inlineStr">
        <is>
          <t xml:space="preserve">BIO110</t>
        </is>
      </c>
      <c r="E183" s="3" t="inlineStr">
        <is>
          <t xml:space="preserve">Ext</t>
        </is>
      </c>
      <c r="F183" s="3" t="inlineStr">
        <is>
          <t xml:space="preserve">P3</t>
        </is>
      </c>
      <c r="G183" s="6">
        <v>8</v>
      </c>
      <c r="H183" s="2" t="inlineStr">
        <is>
          <t xml:space="preserve">Tekrar (kapalı kitap aktif hatırlama, konu başına ~8 dk): Photosynthesis (D+14)</t>
        </is>
      </c>
      <c r="I183" s="2"/>
      <c r="J183" s="7" t="inlineStr">
        <is>
          <t xml:space="preserve">Not Started</t>
        </is>
      </c>
      <c r="K183" s="7"/>
      <c r="L183" s="3"/>
    </row>
    <row r="184">
      <c r="A184" s="2" t="inlineStr">
        <is>
          <t xml:space="preserve">2026-11-16-12</t>
        </is>
      </c>
      <c r="B184" s="4">
        <v>46342</v>
      </c>
      <c r="C184" s="3" t="inlineStr">
        <is>
          <t xml:space="preserve">Pazartesi</t>
        </is>
      </c>
      <c r="D184" s="3" t="inlineStr">
        <is>
          <t xml:space="preserve">CMPE371</t>
        </is>
      </c>
      <c r="E184" s="3" t="inlineStr">
        <is>
          <t xml:space="preserve">Ext</t>
        </is>
      </c>
      <c r="F184" s="3" t="inlineStr">
        <is>
          <t xml:space="preserve">P3</t>
        </is>
      </c>
      <c r="G184" s="6">
        <v>8</v>
      </c>
      <c r="H184" s="2" t="inlineStr">
        <is>
          <t xml:space="preserve">Tekrar (kapalı kitap aktif hatırlama, konu başına ~8 dk): Sinusoids (D+14)</t>
        </is>
      </c>
      <c r="I184" s="2"/>
      <c r="J184" s="7" t="inlineStr">
        <is>
          <t xml:space="preserve">Not Started</t>
        </is>
      </c>
      <c r="K184" s="7"/>
      <c r="L184" s="3"/>
    </row>
    <row r="185">
      <c r="A185" s="2" t="inlineStr">
        <is>
          <t xml:space="preserve">2026-11-17-01</t>
        </is>
      </c>
      <c r="B185" s="4">
        <v>46343</v>
      </c>
      <c r="C185" s="3" t="inlineStr">
        <is>
          <t xml:space="preserve">Salı</t>
        </is>
      </c>
      <c r="D185" s="3" t="inlineStr">
        <is>
          <t xml:space="preserve">CMPE421</t>
        </is>
      </c>
      <c r="E185" s="3" t="inlineStr">
        <is>
          <t xml:space="preserve">Min</t>
        </is>
      </c>
      <c r="F185" s="3" t="inlineStr">
        <is>
          <t xml:space="preserve">P1</t>
        </is>
      </c>
      <c r="G185" s="6">
        <v>60</v>
      </c>
      <c r="H185" s="2" t="inlineStr">
        <is>
          <t xml:space="preserve">Prova yanlış analizi — sebep etiketle. ▸ yanlış konulardan 6 yeni soru</t>
        </is>
      </c>
      <c r="I185" s="2" t="inlineStr">
        <is>
          <t xml:space="preserve">Hoca slaytı (syllabus kitap belirtmiyor: Materyal bekleniyor) — Materyal bekleniyor</t>
        </is>
      </c>
      <c r="J185" s="7" t="inlineStr">
        <is>
          <t xml:space="preserve">Not Started</t>
        </is>
      </c>
      <c r="K185" s="7"/>
      <c r="L185" s="3"/>
    </row>
    <row r="186">
      <c r="A186" s="2" t="inlineStr">
        <is>
          <t xml:space="preserve">2026-11-17-02</t>
        </is>
      </c>
      <c r="B186" s="4">
        <v>46343</v>
      </c>
      <c r="C186" s="3" t="inlineStr">
        <is>
          <t xml:space="preserve">Salı</t>
        </is>
      </c>
      <c r="D186" s="3" t="inlineStr">
        <is>
          <t xml:space="preserve">BIO110</t>
        </is>
      </c>
      <c r="E186" s="3" t="inlineStr">
        <is>
          <t xml:space="preserve">Min</t>
        </is>
      </c>
      <c r="F186" s="3" t="inlineStr">
        <is>
          <t xml:space="preserve">P3</t>
        </is>
      </c>
      <c r="G186" s="6">
        <v>100</v>
      </c>
      <c r="H186" s="2" t="inlineStr">
        <is>
          <t xml:space="preserve">Gene Expression: Gene to Protein — transkripsiyon, RNA işleme, translasyon, kod tablosu, mutasyon. ▸ mRNA→protein 8 alıştırma + süreç şeması + 15 soru</t>
        </is>
      </c>
      <c r="I186" s="2" t="inlineStr">
        <is>
          <t xml:space="preserve">Campbell Biology (ilgili bölüm; baskıya göre numara değişir) + hoca slaytı — Materyal bekleniyor</t>
        </is>
      </c>
      <c r="J186" s="7" t="inlineStr">
        <is>
          <t xml:space="preserve">Not Started</t>
        </is>
      </c>
      <c r="K186" s="7"/>
      <c r="L186" s="3"/>
    </row>
    <row r="187">
      <c r="A187" s="2" t="inlineStr">
        <is>
          <t xml:space="preserve">2026-11-17-03</t>
        </is>
      </c>
      <c r="B187" s="4">
        <v>46343</v>
      </c>
      <c r="C187" s="3" t="inlineStr">
        <is>
          <t xml:space="preserve">Salı</t>
        </is>
      </c>
      <c r="D187" s="3" t="inlineStr">
        <is>
          <t xml:space="preserve">CMPE453</t>
        </is>
      </c>
      <c r="E187" s="3" t="inlineStr">
        <is>
          <t xml:space="preserve">Ext</t>
        </is>
      </c>
      <c r="F187" s="3" t="inlineStr">
        <is>
          <t xml:space="preserve">P3</t>
        </is>
      </c>
      <c r="G187" s="6">
        <v>90</v>
      </c>
      <c r="H187" s="2" t="inlineStr">
        <is>
          <t xml:space="preserve">Timers/counters — Timer0/1 modları, prescaler, taşma/karşılaştırma, süre hesabı. ▸ 6 zaman hesabı + 3 kod</t>
        </is>
      </c>
      <c r="I187" s="2" t="inlineStr">
        <is>
          <t xml:space="preserve">Elliot (syllabus: Ch.1–10) + STM32 Manual + hoca slaytı — Materyal bekleniyor</t>
        </is>
      </c>
      <c r="J187" s="7" t="inlineStr">
        <is>
          <t xml:space="preserve">Not Started</t>
        </is>
      </c>
      <c r="K187" s="7"/>
      <c r="L187" s="3"/>
    </row>
    <row r="188">
      <c r="A188" s="2" t="inlineStr">
        <is>
          <t xml:space="preserve">2026-11-17-04</t>
        </is>
      </c>
      <c r="B188" s="4">
        <v>46343</v>
      </c>
      <c r="C188" s="3" t="inlineStr">
        <is>
          <t xml:space="preserve">Salı</t>
        </is>
      </c>
      <c r="D188" s="3" t="inlineStr">
        <is>
          <t xml:space="preserve">CMPE371</t>
        </is>
      </c>
      <c r="E188" s="3" t="inlineStr">
        <is>
          <t xml:space="preserve">Ext</t>
        </is>
      </c>
      <c r="F188" s="3" t="inlineStr">
        <is>
          <t xml:space="preserve">P2</t>
        </is>
      </c>
      <c r="G188" s="6">
        <v>60</v>
      </c>
      <c r="H188" s="2" t="inlineStr">
        <is>
          <t xml:space="preserve">Yakalama: CMPE371 — ext'te yapılmayan S4–S6 bloklarını bitir (hepsi yapıldıysa SP7'ye geç). ▸ eksik blok başına 3 problem</t>
        </is>
      </c>
      <c r="I188" s="2" t="inlineStr">
        <is>
          <t xml:space="preserve">Hoca slaytı + ders kitabı (syllabus'ta belirtilmemiş: Materyal bekleniyor) — Materyal bekleniyor</t>
        </is>
      </c>
      <c r="J188" s="7" t="inlineStr">
        <is>
          <t xml:space="preserve">Not Started</t>
        </is>
      </c>
      <c r="K188" s="7"/>
      <c r="L188" s="3"/>
    </row>
    <row r="189">
      <c r="A189" s="2" t="inlineStr">
        <is>
          <t xml:space="preserve">2026-11-17-05</t>
        </is>
      </c>
      <c r="B189" s="4">
        <v>46343</v>
      </c>
      <c r="C189" s="3" t="inlineStr">
        <is>
          <t xml:space="preserve">Salı</t>
        </is>
      </c>
      <c r="D189" s="3" t="inlineStr">
        <is>
          <t xml:space="preserve">BIO110</t>
        </is>
      </c>
      <c r="E189" s="3" t="inlineStr">
        <is>
          <t xml:space="preserve">Min</t>
        </is>
      </c>
      <c r="F189" s="3" t="inlineStr">
        <is>
          <t xml:space="preserve">P3</t>
        </is>
      </c>
      <c r="G189" s="6">
        <v>16</v>
      </c>
      <c r="H189" s="2" t="inlineStr">
        <is>
          <t xml:space="preserve">Tekrar (kapalı kitap aktif hatırlama, konu başına ~8 dk): Molecular Basis of Inheritance (D+1); Mendel and the Gene Idea (D+3)</t>
        </is>
      </c>
      <c r="I189" s="2"/>
      <c r="J189" s="7" t="inlineStr">
        <is>
          <t xml:space="preserve">Not Started</t>
        </is>
      </c>
      <c r="K189" s="7"/>
      <c r="L189" s="3"/>
    </row>
    <row r="190">
      <c r="A190" s="2" t="inlineStr">
        <is>
          <t xml:space="preserve">2026-11-17-06</t>
        </is>
      </c>
      <c r="B190" s="4">
        <v>46343</v>
      </c>
      <c r="C190" s="3" t="inlineStr">
        <is>
          <t xml:space="preserve">Salı</t>
        </is>
      </c>
      <c r="D190" s="3" t="inlineStr">
        <is>
          <t xml:space="preserve">CMPE421</t>
        </is>
      </c>
      <c r="E190" s="3" t="inlineStr">
        <is>
          <t xml:space="preserve">Min</t>
        </is>
      </c>
      <c r="F190" s="3" t="inlineStr">
        <is>
          <t xml:space="preserve">P2</t>
        </is>
      </c>
      <c r="G190" s="6">
        <v>8</v>
      </c>
      <c r="H190" s="2" t="inlineStr">
        <is>
          <t xml:space="preserve">Tekrar (kapalı kitap aktif hatırlama, konu başına ~8 dk): Uncertainty (D+3)</t>
        </is>
      </c>
      <c r="I190" s="2"/>
      <c r="J190" s="7" t="inlineStr">
        <is>
          <t xml:space="preserve">Not Started</t>
        </is>
      </c>
      <c r="K190" s="7"/>
      <c r="L190" s="3"/>
    </row>
    <row r="191">
      <c r="A191" s="2" t="inlineStr">
        <is>
          <t xml:space="preserve">2026-11-17-07</t>
        </is>
      </c>
      <c r="B191" s="4">
        <v>46343</v>
      </c>
      <c r="C191" s="3" t="inlineStr">
        <is>
          <t xml:space="preserve">Salı</t>
        </is>
      </c>
      <c r="D191" s="3" t="inlineStr">
        <is>
          <t xml:space="preserve">CMPE327</t>
        </is>
      </c>
      <c r="E191" s="3" t="inlineStr">
        <is>
          <t xml:space="preserve">Ext</t>
        </is>
      </c>
      <c r="F191" s="3" t="inlineStr">
        <is>
          <t xml:space="preserve">P3</t>
        </is>
      </c>
      <c r="G191" s="6">
        <v>8</v>
      </c>
      <c r="H191" s="2" t="inlineStr">
        <is>
          <t xml:space="preserve">Tekrar (kapalı kitap aktif hatırlama, konu başına ~8 dk): Derivatives + regex denkliği (D+7)</t>
        </is>
      </c>
      <c r="I191" s="2"/>
      <c r="J191" s="7" t="inlineStr">
        <is>
          <t xml:space="preserve">Not Started</t>
        </is>
      </c>
      <c r="K191" s="7"/>
      <c r="L191" s="3"/>
    </row>
    <row r="192">
      <c r="A192" s="2" t="inlineStr">
        <is>
          <t xml:space="preserve">2026-11-17-08</t>
        </is>
      </c>
      <c r="B192" s="4">
        <v>46343</v>
      </c>
      <c r="C192" s="3" t="inlineStr">
        <is>
          <t xml:space="preserve">Salı</t>
        </is>
      </c>
      <c r="D192" s="3" t="inlineStr">
        <is>
          <t xml:space="preserve">CMPE421</t>
        </is>
      </c>
      <c r="E192" s="3" t="inlineStr">
        <is>
          <t xml:space="preserve">Ext</t>
        </is>
      </c>
      <c r="F192" s="3" t="inlineStr">
        <is>
          <t xml:space="preserve">P2</t>
        </is>
      </c>
      <c r="G192" s="6">
        <v>16</v>
      </c>
      <c r="H192" s="2" t="inlineStr">
        <is>
          <t xml:space="preserve">Tekrar (kapalı kitap aktif hatırlama, konu başına ~8 dk): Planning (D+7); Intro to AI + intelligent agents (D+14)</t>
        </is>
      </c>
      <c r="I192" s="2"/>
      <c r="J192" s="7" t="inlineStr">
        <is>
          <t xml:space="preserve">Not Started</t>
        </is>
      </c>
      <c r="K192" s="7"/>
      <c r="L192" s="3"/>
    </row>
    <row r="193">
      <c r="A193" s="2" t="inlineStr">
        <is>
          <t xml:space="preserve">2026-11-17-09</t>
        </is>
      </c>
      <c r="B193" s="4">
        <v>46343</v>
      </c>
      <c r="C193" s="3" t="inlineStr">
        <is>
          <t xml:space="preserve">Salı</t>
        </is>
      </c>
      <c r="D193" s="3" t="inlineStr">
        <is>
          <t xml:space="preserve">CMPE453</t>
        </is>
      </c>
      <c r="E193" s="3" t="inlineStr">
        <is>
          <t xml:space="preserve">Ext</t>
        </is>
      </c>
      <c r="F193" s="3" t="inlineStr">
        <is>
          <t xml:space="preserve">P3</t>
        </is>
      </c>
      <c r="G193" s="6">
        <v>8</v>
      </c>
      <c r="H193" s="2" t="inlineStr">
        <is>
          <t xml:space="preserve">Tekrar (kapalı kitap aktif hatırlama, konu başına ~8 dk): ADC (D+7)</t>
        </is>
      </c>
      <c r="I193" s="2"/>
      <c r="J193" s="7" t="inlineStr">
        <is>
          <t xml:space="preserve">Not Started</t>
        </is>
      </c>
      <c r="K193" s="7"/>
      <c r="L193" s="3"/>
    </row>
    <row r="194">
      <c r="A194" s="2" t="inlineStr">
        <is>
          <t xml:space="preserve">2026-11-17-10</t>
        </is>
      </c>
      <c r="B194" s="4">
        <v>46343</v>
      </c>
      <c r="C194" s="3" t="inlineStr">
        <is>
          <t xml:space="preserve">Salı</t>
        </is>
      </c>
      <c r="D194" s="3" t="inlineStr">
        <is>
          <t xml:space="preserve">CMPE371</t>
        </is>
      </c>
      <c r="E194" s="3" t="inlineStr">
        <is>
          <t xml:space="preserve">Ext</t>
        </is>
      </c>
      <c r="F194" s="3" t="inlineStr">
        <is>
          <t xml:space="preserve">P3</t>
        </is>
      </c>
      <c r="G194" s="6">
        <v>8</v>
      </c>
      <c r="H194" s="2" t="inlineStr">
        <is>
          <t xml:space="preserve">Tekrar (kapalı kitap aktif hatırlama, konu başına ~8 dk): Special signals (D+14)</t>
        </is>
      </c>
      <c r="I194" s="2"/>
      <c r="J194" s="7" t="inlineStr">
        <is>
          <t xml:space="preserve">Not Started</t>
        </is>
      </c>
      <c r="K194" s="7"/>
      <c r="L194" s="3"/>
    </row>
    <row r="195">
      <c r="A195" s="2" t="inlineStr">
        <is>
          <t xml:space="preserve">2026-11-18-01</t>
        </is>
      </c>
      <c r="B195" s="4">
        <v>46344</v>
      </c>
      <c r="C195" s="3" t="inlineStr">
        <is>
          <t xml:space="preserve">Çarşamba</t>
        </is>
      </c>
      <c r="D195" s="3" t="inlineStr">
        <is>
          <t xml:space="preserve">CMPE421</t>
        </is>
      </c>
      <c r="E195" s="3" t="inlineStr">
        <is>
          <t xml:space="preserve">Min</t>
        </is>
      </c>
      <c r="F195" s="3" t="inlineStr">
        <is>
          <t xml:space="preserve">P1</t>
        </is>
      </c>
      <c r="G195" s="6">
        <v>60</v>
      </c>
      <c r="H195" s="2" t="inlineStr">
        <is>
          <t xml:space="preserve">Vize son tekrar — algoritma karşılaştırma tabloları. ▸ tüm aramaları 1 kez elle yürüt</t>
        </is>
      </c>
      <c r="I195" s="2" t="inlineStr">
        <is>
          <t xml:space="preserve">Hoca slaytı (syllabus kitap belirtmiyor: Materyal bekleniyor) — Materyal bekleniyor</t>
        </is>
      </c>
      <c r="J195" s="7" t="inlineStr">
        <is>
          <t xml:space="preserve">Not Started</t>
        </is>
      </c>
      <c r="K195" s="7"/>
      <c r="L195" s="3"/>
    </row>
    <row r="196">
      <c r="A196" s="2" t="inlineStr">
        <is>
          <t xml:space="preserve">2026-11-18-02</t>
        </is>
      </c>
      <c r="B196" s="4">
        <v>46344</v>
      </c>
      <c r="C196" s="3" t="inlineStr">
        <is>
          <t xml:space="preserve">Çarşamba</t>
        </is>
      </c>
      <c r="D196" s="3" t="inlineStr">
        <is>
          <t xml:space="preserve">BIO110</t>
        </is>
      </c>
      <c r="E196" s="3" t="inlineStr">
        <is>
          <t xml:space="preserve">Min</t>
        </is>
      </c>
      <c r="F196" s="3" t="inlineStr">
        <is>
          <t xml:space="preserve">P3</t>
        </is>
      </c>
      <c r="G196" s="6">
        <v>80</v>
      </c>
      <c r="H196" s="2" t="inlineStr">
        <is>
          <t xml:space="preserve">Regulation of Gene Expression — operonlar, epigenetik, ökaryot düzenleme, transkripsiyon faktörleri. ▸ lac/trp operon 6 senaryo + 12 soru</t>
        </is>
      </c>
      <c r="I196" s="2" t="inlineStr">
        <is>
          <t xml:space="preserve">Campbell Biology (ilgili bölüm; baskıya göre numara değişir) + hoca slaytı — Materyal bekleniyor</t>
        </is>
      </c>
      <c r="J196" s="7" t="inlineStr">
        <is>
          <t xml:space="preserve">Not Started</t>
        </is>
      </c>
      <c r="K196" s="7"/>
      <c r="L196" s="3"/>
    </row>
    <row r="197">
      <c r="A197" s="2" t="inlineStr">
        <is>
          <t xml:space="preserve">2026-11-18-03</t>
        </is>
      </c>
      <c r="B197" s="4">
        <v>46344</v>
      </c>
      <c r="C197" s="3" t="inlineStr">
        <is>
          <t xml:space="preserve">Çarşamba</t>
        </is>
      </c>
      <c r="D197" s="3" t="inlineStr">
        <is>
          <t xml:space="preserve">BIO110</t>
        </is>
      </c>
      <c r="E197" s="3" t="inlineStr">
        <is>
          <t xml:space="preserve">Min</t>
        </is>
      </c>
      <c r="F197" s="3" t="inlineStr">
        <is>
          <t xml:space="preserve">P3</t>
        </is>
      </c>
      <c r="G197" s="6">
        <v>16</v>
      </c>
      <c r="H197" s="2" t="inlineStr">
        <is>
          <t xml:space="preserve">Tekrar (kapalı kitap aktif hatırlama, konu başına ~8 dk): Gene Expression: Gene to Protein (D+1); Chromosomal Basis of Inheritance (D+3)</t>
        </is>
      </c>
      <c r="I197" s="2"/>
      <c r="J197" s="7" t="inlineStr">
        <is>
          <t xml:space="preserve">Not Started</t>
        </is>
      </c>
      <c r="K197" s="7"/>
      <c r="L197" s="3"/>
    </row>
    <row r="198">
      <c r="A198" s="2" t="inlineStr">
        <is>
          <t xml:space="preserve">2026-11-18-04</t>
        </is>
      </c>
      <c r="B198" s="4">
        <v>46344</v>
      </c>
      <c r="C198" s="3" t="inlineStr">
        <is>
          <t xml:space="preserve">Çarşamba</t>
        </is>
      </c>
      <c r="D198" s="3" t="inlineStr">
        <is>
          <t xml:space="preserve">CMPE453</t>
        </is>
      </c>
      <c r="E198" s="3" t="inlineStr">
        <is>
          <t xml:space="preserve">Min</t>
        </is>
      </c>
      <c r="F198" s="3" t="inlineStr">
        <is>
          <t xml:space="preserve">P3</t>
        </is>
      </c>
      <c r="G198" s="6">
        <v>16</v>
      </c>
      <c r="H198" s="2" t="inlineStr">
        <is>
          <t xml:space="preserve">Tekrar (kapalı kitap aktif hatırlama, konu başına ~8 dk): Timers/counters (D+1); Interrupts (D+3)</t>
        </is>
      </c>
      <c r="I198" s="2"/>
      <c r="J198" s="7" t="inlineStr">
        <is>
          <t xml:space="preserve">Not Started</t>
        </is>
      </c>
      <c r="K198" s="7"/>
      <c r="L198" s="3"/>
    </row>
    <row r="199">
      <c r="A199" s="2" t="inlineStr">
        <is>
          <t xml:space="preserve">2026-11-18-05</t>
        </is>
      </c>
      <c r="B199" s="4">
        <v>46344</v>
      </c>
      <c r="C199" s="3" t="inlineStr">
        <is>
          <t xml:space="preserve">Çarşamba</t>
        </is>
      </c>
      <c r="D199" s="3" t="inlineStr">
        <is>
          <t xml:space="preserve">CMPE371</t>
        </is>
      </c>
      <c r="E199" s="3" t="inlineStr">
        <is>
          <t xml:space="preserve">Min</t>
        </is>
      </c>
      <c r="F199" s="3" t="inlineStr">
        <is>
          <t xml:space="preserve">P3</t>
        </is>
      </c>
      <c r="G199" s="6">
        <v>8</v>
      </c>
      <c r="H199" s="2" t="inlineStr">
        <is>
          <t xml:space="preserve">Tekrar (kapalı kitap aktif hatırlama, konu başına ~8 dk): CTFT (D+3)</t>
        </is>
      </c>
      <c r="I199" s="2"/>
      <c r="J199" s="7" t="inlineStr">
        <is>
          <t xml:space="preserve">Not Started</t>
        </is>
      </c>
      <c r="K199" s="7"/>
      <c r="L199" s="3"/>
    </row>
    <row r="200">
      <c r="A200" s="2" t="inlineStr">
        <is>
          <t xml:space="preserve">2026-11-18-06</t>
        </is>
      </c>
      <c r="B200" s="4">
        <v>46344</v>
      </c>
      <c r="C200" s="3" t="inlineStr">
        <is>
          <t xml:space="preserve">Çarşamba</t>
        </is>
      </c>
      <c r="D200" s="3" t="inlineStr">
        <is>
          <t xml:space="preserve">CMPE327</t>
        </is>
      </c>
      <c r="E200" s="3" t="inlineStr">
        <is>
          <t xml:space="preserve">Ext</t>
        </is>
      </c>
      <c r="F200" s="3" t="inlineStr">
        <is>
          <t xml:space="preserve">P3</t>
        </is>
      </c>
      <c r="G200" s="6">
        <v>16</v>
      </c>
      <c r="H200" s="2" t="inlineStr">
        <is>
          <t xml:space="preserve">Tekrar (kapalı kitap aktif hatırlama, konu başına ~8 dk): Context-free grammars (D+7); NFA ve ε-NFA (D+14)</t>
        </is>
      </c>
      <c r="I200" s="2"/>
      <c r="J200" s="7" t="inlineStr">
        <is>
          <t xml:space="preserve">Not Started</t>
        </is>
      </c>
      <c r="K200" s="7"/>
      <c r="L200" s="3"/>
    </row>
    <row r="201">
      <c r="A201" s="2" t="inlineStr">
        <is>
          <t xml:space="preserve">2026-11-18-07</t>
        </is>
      </c>
      <c r="B201" s="4">
        <v>46344</v>
      </c>
      <c r="C201" s="3" t="inlineStr">
        <is>
          <t xml:space="preserve">Çarşamba</t>
        </is>
      </c>
      <c r="D201" s="3" t="inlineStr">
        <is>
          <t xml:space="preserve">CMPE421</t>
        </is>
      </c>
      <c r="E201" s="3" t="inlineStr">
        <is>
          <t xml:space="preserve">Ext</t>
        </is>
      </c>
      <c r="F201" s="3" t="inlineStr">
        <is>
          <t xml:space="preserve">P2</t>
        </is>
      </c>
      <c r="G201" s="6">
        <v>16</v>
      </c>
      <c r="H201" s="2" t="inlineStr">
        <is>
          <t xml:space="preserve">Tekrar (kapalı kitap aktif hatırlama, konu başına ~8 dk): Knowledge representation (D+7); Problem solving + uninformed search (D+14)</t>
        </is>
      </c>
      <c r="I201" s="2"/>
      <c r="J201" s="7" t="inlineStr">
        <is>
          <t xml:space="preserve">Not Started</t>
        </is>
      </c>
      <c r="K201" s="7"/>
      <c r="L201" s="3"/>
    </row>
    <row r="202">
      <c r="A202" s="2" t="inlineStr">
        <is>
          <t xml:space="preserve">2026-11-18-08</t>
        </is>
      </c>
      <c r="B202" s="4">
        <v>46344</v>
      </c>
      <c r="C202" s="3" t="inlineStr">
        <is>
          <t xml:space="preserve">Çarşamba</t>
        </is>
      </c>
      <c r="D202" s="3" t="inlineStr">
        <is>
          <t xml:space="preserve">CMPE453</t>
        </is>
      </c>
      <c r="E202" s="3" t="inlineStr">
        <is>
          <t xml:space="preserve">Ext</t>
        </is>
      </c>
      <c r="F202" s="3" t="inlineStr">
        <is>
          <t xml:space="preserve">P3</t>
        </is>
      </c>
      <c r="G202" s="6">
        <v>8</v>
      </c>
      <c r="H202" s="2" t="inlineStr">
        <is>
          <t xml:space="preserve">Tekrar (kapalı kitap aktif hatırlama, konu başına ~8 dk): Course overview + ATmega328P architecture (D+14)</t>
        </is>
      </c>
      <c r="I202" s="2"/>
      <c r="J202" s="7" t="inlineStr">
        <is>
          <t xml:space="preserve">Not Started</t>
        </is>
      </c>
      <c r="K202" s="7"/>
      <c r="L202" s="3"/>
    </row>
    <row r="203">
      <c r="A203" s="2" t="inlineStr">
        <is>
          <t xml:space="preserve">2026-11-18-09</t>
        </is>
      </c>
      <c r="B203" s="4">
        <v>46344</v>
      </c>
      <c r="C203" s="3" t="inlineStr">
        <is>
          <t xml:space="preserve">Çarşamba</t>
        </is>
      </c>
      <c r="D203" s="3" t="inlineStr">
        <is>
          <t xml:space="preserve">CMPE371</t>
        </is>
      </c>
      <c r="E203" s="3" t="inlineStr">
        <is>
          <t xml:space="preserve">Ext</t>
        </is>
      </c>
      <c r="F203" s="3" t="inlineStr">
        <is>
          <t xml:space="preserve">P3</t>
        </is>
      </c>
      <c r="G203" s="6">
        <v>8</v>
      </c>
      <c r="H203" s="2" t="inlineStr">
        <is>
          <t xml:space="preserve">Tekrar (kapalı kitap aktif hatırlama, konu başına ~8 dk): System properties (D+14)</t>
        </is>
      </c>
      <c r="I203" s="2"/>
      <c r="J203" s="7" t="inlineStr">
        <is>
          <t xml:space="preserve">Not Started</t>
        </is>
      </c>
      <c r="K203" s="7"/>
      <c r="L203" s="3"/>
    </row>
    <row r="204">
      <c r="A204" s="2" t="inlineStr">
        <is>
          <t xml:space="preserve">2026-11-19-01</t>
        </is>
      </c>
      <c r="B204" s="4">
        <v>46345</v>
      </c>
      <c r="C204" s="3" t="inlineStr">
        <is>
          <t xml:space="preserve">Perşembe</t>
        </is>
      </c>
      <c r="D204" s="3" t="inlineStr">
        <is>
          <t xml:space="preserve">CMPE499</t>
        </is>
      </c>
      <c r="E204" s="3" t="inlineStr">
        <is>
          <t xml:space="preserve">Min</t>
        </is>
      </c>
      <c r="F204" s="3" t="inlineStr">
        <is>
          <t xml:space="preserve">P1</t>
        </is>
      </c>
      <c r="G204" s="6">
        <v>45</v>
      </c>
      <c r="H204" s="2" t="inlineStr">
        <is>
          <t xml:space="preserve">Rapor: son okuma + PDF — son okuma, PDF çıktısı. ▸ PDF'i aç, sayfa/şekil kontrolü</t>
        </is>
      </c>
      <c r="I204" s="2"/>
      <c r="J204" s="7" t="inlineStr">
        <is>
          <t xml:space="preserve">Not Started</t>
        </is>
      </c>
      <c r="K204" s="7"/>
      <c r="L204" s="3" t="inlineStr">
        <is>
          <t xml:space="preserve">★</t>
        </is>
      </c>
    </row>
    <row r="205">
      <c r="A205" s="2" t="inlineStr">
        <is>
          <t xml:space="preserve">2026-11-19-02</t>
        </is>
      </c>
      <c r="B205" s="4">
        <v>46345</v>
      </c>
      <c r="C205" s="3" t="inlineStr">
        <is>
          <t xml:space="preserve">Perşembe</t>
        </is>
      </c>
      <c r="D205" s="3" t="inlineStr">
        <is>
          <t xml:space="preserve">CMPE499</t>
        </is>
      </c>
      <c r="E205" s="3" t="inlineStr">
        <is>
          <t xml:space="preserve">Min</t>
        </is>
      </c>
      <c r="F205" s="3" t="inlineStr">
        <is>
          <t xml:space="preserve">P1</t>
        </is>
      </c>
      <c r="G205" s="6">
        <v>45</v>
      </c>
      <c r="H205" s="2" t="inlineStr">
        <is>
          <t xml:space="preserve">Rapor: iç kontrol — yönerge listesi ile son karşılaştırma. ▸ Eksik varsa listele</t>
        </is>
      </c>
      <c r="I205" s="2"/>
      <c r="J205" s="7" t="inlineStr">
        <is>
          <t xml:space="preserve">Not Started</t>
        </is>
      </c>
      <c r="K205" s="7"/>
      <c r="L205" s="3" t="inlineStr">
        <is>
          <t xml:space="preserve">★</t>
        </is>
      </c>
    </row>
    <row r="206">
      <c r="A206" s="2" t="inlineStr">
        <is>
          <t xml:space="preserve">2026-11-19-03</t>
        </is>
      </c>
      <c r="B206" s="4">
        <v>46345</v>
      </c>
      <c r="C206" s="3" t="inlineStr">
        <is>
          <t xml:space="preserve">Perşembe</t>
        </is>
      </c>
      <c r="D206" s="3" t="inlineStr">
        <is>
          <t xml:space="preserve">CMPE421</t>
        </is>
      </c>
      <c r="E206" s="3" t="inlineStr">
        <is>
          <t xml:space="preserve">Min</t>
        </is>
      </c>
      <c r="F206" s="3" t="inlineStr">
        <is>
          <t xml:space="preserve">P1</t>
        </is>
      </c>
      <c r="G206" s="6">
        <v>45</v>
      </c>
      <c r="H206" s="2" t="inlineStr">
        <is>
          <t xml:space="preserve">Vize son kısa tekrar — özet. ▸ 10 hızlı soru</t>
        </is>
      </c>
      <c r="I206" s="2" t="inlineStr">
        <is>
          <t xml:space="preserve">Hoca slaytı (syllabus kitap belirtmiyor: Materyal bekleniyor) — Materyal bekleniyor</t>
        </is>
      </c>
      <c r="J206" s="7" t="inlineStr">
        <is>
          <t xml:space="preserve">Not Started</t>
        </is>
      </c>
      <c r="K206" s="7"/>
      <c r="L206" s="3"/>
    </row>
    <row r="207">
      <c r="A207" s="2" t="inlineStr">
        <is>
          <t xml:space="preserve">2026-11-19-04</t>
        </is>
      </c>
      <c r="B207" s="4">
        <v>46345</v>
      </c>
      <c r="C207" s="3" t="inlineStr">
        <is>
          <t xml:space="preserve">Perşembe</t>
        </is>
      </c>
      <c r="D207" s="3" t="inlineStr">
        <is>
          <t xml:space="preserve">BIO110</t>
        </is>
      </c>
      <c r="E207" s="3" t="inlineStr">
        <is>
          <t xml:space="preserve">Min</t>
        </is>
      </c>
      <c r="F207" s="3" t="inlineStr">
        <is>
          <t xml:space="preserve">P3</t>
        </is>
      </c>
      <c r="G207" s="6">
        <v>70</v>
      </c>
      <c r="H207" s="2" t="inlineStr">
        <is>
          <t xml:space="preserve">DNA Tools and Biotechnology — PCR, jel elektroforezi, klonlama, CRISPR, DNA dizileme. ▸ PCR/jel yorumlama 5 soru + 12 soru</t>
        </is>
      </c>
      <c r="I207" s="2" t="inlineStr">
        <is>
          <t xml:space="preserve">Campbell Biology (ilgili bölüm; baskıya göre numara değişir) + hoca slaytı — Materyal bekleniyor</t>
        </is>
      </c>
      <c r="J207" s="7" t="inlineStr">
        <is>
          <t xml:space="preserve">Not Started</t>
        </is>
      </c>
      <c r="K207" s="7"/>
      <c r="L207" s="3"/>
    </row>
    <row r="208">
      <c r="A208" s="2" t="inlineStr">
        <is>
          <t xml:space="preserve">2026-11-19-05</t>
        </is>
      </c>
      <c r="B208" s="4">
        <v>46345</v>
      </c>
      <c r="C208" s="3" t="inlineStr">
        <is>
          <t xml:space="preserve">Perşembe</t>
        </is>
      </c>
      <c r="D208" s="3" t="inlineStr">
        <is>
          <t xml:space="preserve">BIO110</t>
        </is>
      </c>
      <c r="E208" s="3" t="inlineStr">
        <is>
          <t xml:space="preserve">Ext</t>
        </is>
      </c>
      <c r="F208" s="3" t="inlineStr">
        <is>
          <t xml:space="preserve">P3</t>
        </is>
      </c>
      <c r="G208" s="6">
        <v>45</v>
      </c>
      <c r="H208" s="2" t="inlineStr">
        <is>
          <t xml:space="preserve">Konu testi 3 (B10–B13) — karma test. ▸ 35 soru + yanlış analizi</t>
        </is>
      </c>
      <c r="I208" s="2" t="inlineStr">
        <is>
          <t xml:space="preserve">Campbell Biology (ilgili bölüm; baskıya göre numara değişir) + hoca slaytı — Materyal bekleniyor</t>
        </is>
      </c>
      <c r="J208" s="7" t="inlineStr">
        <is>
          <t xml:space="preserve">Not Started</t>
        </is>
      </c>
      <c r="K208" s="7"/>
      <c r="L208" s="3"/>
    </row>
    <row r="209">
      <c r="A209" s="2" t="inlineStr">
        <is>
          <t xml:space="preserve">2026-11-19-06</t>
        </is>
      </c>
      <c r="B209" s="4">
        <v>46345</v>
      </c>
      <c r="C209" s="3" t="inlineStr">
        <is>
          <t xml:space="preserve">Perşembe</t>
        </is>
      </c>
      <c r="D209" s="3" t="inlineStr">
        <is>
          <t xml:space="preserve">BIO110</t>
        </is>
      </c>
      <c r="E209" s="3" t="inlineStr">
        <is>
          <t xml:space="preserve">Min</t>
        </is>
      </c>
      <c r="F209" s="3" t="inlineStr">
        <is>
          <t xml:space="preserve">P3</t>
        </is>
      </c>
      <c r="G209" s="6">
        <v>16</v>
      </c>
      <c r="H209" s="2" t="inlineStr">
        <is>
          <t xml:space="preserve">Tekrar (kapalı kitap aktif hatırlama, konu başına ~8 dk): Regulation of Gene Expression (D+1); Molecular Basis of Inheritance (D+3)</t>
        </is>
      </c>
      <c r="I209" s="2"/>
      <c r="J209" s="7" t="inlineStr">
        <is>
          <t xml:space="preserve">Not Started</t>
        </is>
      </c>
      <c r="K209" s="7"/>
      <c r="L209" s="3"/>
    </row>
    <row r="210">
      <c r="A210" s="2" t="inlineStr">
        <is>
          <t xml:space="preserve">2026-11-19-07</t>
        </is>
      </c>
      <c r="B210" s="4">
        <v>46345</v>
      </c>
      <c r="C210" s="3" t="inlineStr">
        <is>
          <t xml:space="preserve">Perşembe</t>
        </is>
      </c>
      <c r="D210" s="3" t="inlineStr">
        <is>
          <t xml:space="preserve">CMPE327</t>
        </is>
      </c>
      <c r="E210" s="3" t="inlineStr">
        <is>
          <t xml:space="preserve">Ext</t>
        </is>
      </c>
      <c r="F210" s="3" t="inlineStr">
        <is>
          <t xml:space="preserve">P3</t>
        </is>
      </c>
      <c r="G210" s="6">
        <v>16</v>
      </c>
      <c r="H210" s="2" t="inlineStr">
        <is>
          <t xml:space="preserve">Tekrar (kapalı kitap aktif hatırlama, konu başına ~8 dk): Ambiguity + DFA eşdeğerlik kontrolü (D+7); DFA ≡ NFA (altküme yapısı) (D+14)</t>
        </is>
      </c>
      <c r="I210" s="2"/>
      <c r="J210" s="7" t="inlineStr">
        <is>
          <t xml:space="preserve">Not Started</t>
        </is>
      </c>
      <c r="K210" s="7"/>
      <c r="L210" s="3"/>
    </row>
    <row r="211">
      <c r="A211" s="2" t="inlineStr">
        <is>
          <t xml:space="preserve">2026-11-19-08</t>
        </is>
      </c>
      <c r="B211" s="4">
        <v>46345</v>
      </c>
      <c r="C211" s="3" t="inlineStr">
        <is>
          <t xml:space="preserve">Perşembe</t>
        </is>
      </c>
      <c r="D211" s="3" t="inlineStr">
        <is>
          <t xml:space="preserve">CMPE421</t>
        </is>
      </c>
      <c r="E211" s="3" t="inlineStr">
        <is>
          <t xml:space="preserve">Ext</t>
        </is>
      </c>
      <c r="F211" s="3" t="inlineStr">
        <is>
          <t xml:space="preserve">P2</t>
        </is>
      </c>
      <c r="G211" s="6">
        <v>8</v>
      </c>
      <c r="H211" s="2" t="inlineStr">
        <is>
          <t xml:space="preserve">Tekrar (kapalı kitap aktif hatırlama, konu başına ~8 dk): Theorem proving (D+7)</t>
        </is>
      </c>
      <c r="I211" s="2"/>
      <c r="J211" s="7" t="inlineStr">
        <is>
          <t xml:space="preserve">Not Started</t>
        </is>
      </c>
      <c r="K211" s="7"/>
      <c r="L211" s="3"/>
    </row>
    <row r="212">
      <c r="A212" s="2" t="inlineStr">
        <is>
          <t xml:space="preserve">2026-11-19-09</t>
        </is>
      </c>
      <c r="B212" s="4">
        <v>46345</v>
      </c>
      <c r="C212" s="3" t="inlineStr">
        <is>
          <t xml:space="preserve">Perşembe</t>
        </is>
      </c>
      <c r="D212" s="3" t="inlineStr">
        <is>
          <t xml:space="preserve">CMPE453</t>
        </is>
      </c>
      <c r="E212" s="3" t="inlineStr">
        <is>
          <t xml:space="preserve">Ext</t>
        </is>
      </c>
      <c r="F212" s="3" t="inlineStr">
        <is>
          <t xml:space="preserve">P3</t>
        </is>
      </c>
      <c r="G212" s="6">
        <v>8</v>
      </c>
      <c r="H212" s="2" t="inlineStr">
        <is>
          <t xml:space="preserve">Tekrar (kapalı kitap aktif hatırlama, konu başına ~8 dk): Programming AVR (C + bit işlemleri) (D+14)</t>
        </is>
      </c>
      <c r="I212" s="2"/>
      <c r="J212" s="7" t="inlineStr">
        <is>
          <t xml:space="preserve">Not Started</t>
        </is>
      </c>
      <c r="K212" s="7"/>
      <c r="L212" s="3"/>
    </row>
    <row r="213">
      <c r="A213" s="2" t="inlineStr">
        <is>
          <t xml:space="preserve">2026-11-19-10</t>
        </is>
      </c>
      <c r="B213" s="4">
        <v>46345</v>
      </c>
      <c r="C213" s="3" t="inlineStr">
        <is>
          <t xml:space="preserve">Perşembe</t>
        </is>
      </c>
      <c r="D213" s="3" t="inlineStr">
        <is>
          <t xml:space="preserve">CMPE371</t>
        </is>
      </c>
      <c r="E213" s="3" t="inlineStr">
        <is>
          <t xml:space="preserve">Ext</t>
        </is>
      </c>
      <c r="F213" s="3" t="inlineStr">
        <is>
          <t xml:space="preserve">P3</t>
        </is>
      </c>
      <c r="G213" s="6">
        <v>16</v>
      </c>
      <c r="H213" s="2" t="inlineStr">
        <is>
          <t xml:space="preserve">Tekrar (kapalı kitap aktif hatırlama, konu başına ~8 dk): LTI I: ayrık konvolüsyon (D+14); LTI II: sürekli konvolüsyon (D+14)</t>
        </is>
      </c>
      <c r="I213" s="2"/>
      <c r="J213" s="7" t="inlineStr">
        <is>
          <t xml:space="preserve">Not Started</t>
        </is>
      </c>
      <c r="K213" s="7"/>
      <c r="L213" s="3"/>
    </row>
    <row r="214">
      <c r="A214" s="2" t="inlineStr">
        <is>
          <t xml:space="preserve">2026-11-20-01</t>
        </is>
      </c>
      <c r="B214" s="4">
        <v>46346</v>
      </c>
      <c r="C214" s="3" t="inlineStr">
        <is>
          <t xml:space="preserve">Cuma</t>
        </is>
      </c>
      <c r="D214" s="3" t="inlineStr">
        <is>
          <t xml:space="preserve">CMPE499</t>
        </is>
      </c>
      <c r="E214" s="3" t="inlineStr">
        <is>
          <t xml:space="preserve">Min</t>
        </is>
      </c>
      <c r="F214" s="3" t="inlineStr">
        <is>
          <t xml:space="preserve">P1</t>
        </is>
      </c>
      <c r="G214" s="6">
        <v>20</v>
      </c>
      <c r="H214" s="2" t="inlineStr">
        <is>
          <t xml:space="preserve">Rapor TESLİM — STR yükle (son tarih 22 Kas; 2 gün erken). ▸ Yükleme onayını kaydet</t>
        </is>
      </c>
      <c r="I214" s="2"/>
      <c r="J214" s="7" t="inlineStr">
        <is>
          <t xml:space="preserve">Not Started</t>
        </is>
      </c>
      <c r="K214" s="7"/>
      <c r="L214" s="3" t="inlineStr">
        <is>
          <t xml:space="preserve">★</t>
        </is>
      </c>
    </row>
    <row r="215">
      <c r="A215" s="2" t="inlineStr">
        <is>
          <t xml:space="preserve">2026-11-20-02</t>
        </is>
      </c>
      <c r="B215" s="4">
        <v>46346</v>
      </c>
      <c r="C215" s="3" t="inlineStr">
        <is>
          <t xml:space="preserve">Cuma</t>
        </is>
      </c>
      <c r="D215" s="3" t="inlineStr">
        <is>
          <t xml:space="preserve">CMPE371</t>
        </is>
      </c>
      <c r="E215" s="3" t="inlineStr">
        <is>
          <t xml:space="preserve">Min</t>
        </is>
      </c>
      <c r="F215" s="3" t="inlineStr">
        <is>
          <t xml:space="preserve">P1</t>
        </is>
      </c>
      <c r="G215" s="6">
        <v>90</v>
      </c>
      <c r="H215" s="2" t="inlineStr">
        <is>
          <t xml:space="preserve">Vize özeti — S1–S7 formül/dönüşüm tablosu tek sayfada. ▸ Tek sayfalık özet yaz</t>
        </is>
      </c>
      <c r="I215" s="2" t="inlineStr">
        <is>
          <t xml:space="preserve">Hoca slaytı + ders kitabı (syllabus'ta belirtilmemiş: Materyal bekleniyor) — Materyal bekleniyor</t>
        </is>
      </c>
      <c r="J215" s="7" t="inlineStr">
        <is>
          <t xml:space="preserve">Not Started</t>
        </is>
      </c>
      <c r="K215" s="7"/>
      <c r="L215" s="3"/>
    </row>
    <row r="216">
      <c r="A216" s="2" t="inlineStr">
        <is>
          <t xml:space="preserve">2026-11-20-03</t>
        </is>
      </c>
      <c r="B216" s="4">
        <v>46346</v>
      </c>
      <c r="C216" s="3" t="inlineStr">
        <is>
          <t xml:space="preserve">Cuma</t>
        </is>
      </c>
      <c r="D216" s="3" t="inlineStr">
        <is>
          <t xml:space="preserve">CMPE499</t>
        </is>
      </c>
      <c r="E216" s="3" t="inlineStr">
        <is>
          <t xml:space="preserve">Min</t>
        </is>
      </c>
      <c r="F216" s="3" t="inlineStr">
        <is>
          <t xml:space="preserve">P1</t>
        </is>
      </c>
      <c r="G216" s="6">
        <v>45</v>
      </c>
      <c r="H216" s="2" t="inlineStr">
        <is>
          <t xml:space="preserve">Video: akış + senaryo iskeleti — video süresi/format gereksinimi, bölüm akışı. ▸ Akış ve süre planı</t>
        </is>
      </c>
      <c r="I216" s="2"/>
      <c r="J216" s="7" t="inlineStr">
        <is>
          <t xml:space="preserve">Not Started</t>
        </is>
      </c>
      <c r="K216" s="7"/>
      <c r="L216" s="3" t="inlineStr">
        <is>
          <t xml:space="preserve">★</t>
        </is>
      </c>
    </row>
    <row r="217">
      <c r="A217" s="2" t="inlineStr">
        <is>
          <t xml:space="preserve">2026-11-20-04</t>
        </is>
      </c>
      <c r="B217" s="4">
        <v>46346</v>
      </c>
      <c r="C217" s="3" t="inlineStr">
        <is>
          <t xml:space="preserve">Cuma</t>
        </is>
      </c>
      <c r="D217" s="3" t="inlineStr">
        <is>
          <t xml:space="preserve">BIO110</t>
        </is>
      </c>
      <c r="E217" s="3" t="inlineStr">
        <is>
          <t xml:space="preserve">Min</t>
        </is>
      </c>
      <c r="F217" s="3" t="inlineStr">
        <is>
          <t xml:space="preserve">P3</t>
        </is>
      </c>
      <c r="G217" s="6">
        <v>16</v>
      </c>
      <c r="H217" s="2" t="inlineStr">
        <is>
          <t xml:space="preserve">Tekrar (kapalı kitap aktif hatırlama, konu başına ~8 dk): DNA Tools and Biotechnology (D+1); Gene Expression: Gene to Protein (D+3)</t>
        </is>
      </c>
      <c r="I217" s="2"/>
      <c r="J217" s="7" t="inlineStr">
        <is>
          <t xml:space="preserve">Not Started</t>
        </is>
      </c>
      <c r="K217" s="7"/>
      <c r="L217" s="3"/>
    </row>
    <row r="218">
      <c r="A218" s="2" t="inlineStr">
        <is>
          <t xml:space="preserve">2026-11-20-05</t>
        </is>
      </c>
      <c r="B218" s="4">
        <v>46346</v>
      </c>
      <c r="C218" s="3" t="inlineStr">
        <is>
          <t xml:space="preserve">Cuma</t>
        </is>
      </c>
      <c r="D218" s="3" t="inlineStr">
        <is>
          <t xml:space="preserve">CMPE453</t>
        </is>
      </c>
      <c r="E218" s="3" t="inlineStr">
        <is>
          <t xml:space="preserve">Min</t>
        </is>
      </c>
      <c r="F218" s="3" t="inlineStr">
        <is>
          <t xml:space="preserve">P3</t>
        </is>
      </c>
      <c r="G218" s="6">
        <v>8</v>
      </c>
      <c r="H218" s="2" t="inlineStr">
        <is>
          <t xml:space="preserve">Tekrar (kapalı kitap aktif hatırlama, konu başına ~8 dk): Timers/counters (D+3)</t>
        </is>
      </c>
      <c r="I218" s="2"/>
      <c r="J218" s="7" t="inlineStr">
        <is>
          <t xml:space="preserve">Not Started</t>
        </is>
      </c>
      <c r="K218" s="7"/>
      <c r="L218" s="3"/>
    </row>
    <row r="219">
      <c r="A219" s="2" t="inlineStr">
        <is>
          <t xml:space="preserve">2026-11-20-06</t>
        </is>
      </c>
      <c r="B219" s="4">
        <v>46346</v>
      </c>
      <c r="C219" s="3" t="inlineStr">
        <is>
          <t xml:space="preserve">Cuma</t>
        </is>
      </c>
      <c r="D219" s="3" t="inlineStr">
        <is>
          <t xml:space="preserve">BIO110</t>
        </is>
      </c>
      <c r="E219" s="3" t="inlineStr">
        <is>
          <t xml:space="preserve">Ext</t>
        </is>
      </c>
      <c r="F219" s="3" t="inlineStr">
        <is>
          <t xml:space="preserve">P3</t>
        </is>
      </c>
      <c r="G219" s="6">
        <v>8</v>
      </c>
      <c r="H219" s="2" t="inlineStr">
        <is>
          <t xml:space="preserve">Tekrar (kapalı kitap aktif hatırlama, konu başına ~8 dk): The Cell Cycle and Cellular Reproduction (D+7)</t>
        </is>
      </c>
      <c r="I219" s="2"/>
      <c r="J219" s="7" t="inlineStr">
        <is>
          <t xml:space="preserve">Not Started</t>
        </is>
      </c>
      <c r="K219" s="7"/>
      <c r="L219" s="3"/>
    </row>
    <row r="220">
      <c r="A220" s="2" t="inlineStr">
        <is>
          <t xml:space="preserve">2026-11-20-07</t>
        </is>
      </c>
      <c r="B220" s="4">
        <v>46346</v>
      </c>
      <c r="C220" s="3" t="inlineStr">
        <is>
          <t xml:space="preserve">Cuma</t>
        </is>
      </c>
      <c r="D220" s="3" t="inlineStr">
        <is>
          <t xml:space="preserve">CMPE327</t>
        </is>
      </c>
      <c r="E220" s="3" t="inlineStr">
        <is>
          <t xml:space="preserve">Ext</t>
        </is>
      </c>
      <c r="F220" s="3" t="inlineStr">
        <is>
          <t xml:space="preserve">P3</t>
        </is>
      </c>
      <c r="G220" s="6">
        <v>8</v>
      </c>
      <c r="H220" s="2" t="inlineStr">
        <is>
          <t xml:space="preserve">Tekrar (kapalı kitap aktif hatırlama, konu başına ~8 dk): Closure properties (D+14)</t>
        </is>
      </c>
      <c r="I220" s="2"/>
      <c r="J220" s="7" t="inlineStr">
        <is>
          <t xml:space="preserve">Not Started</t>
        </is>
      </c>
      <c r="K220" s="7"/>
      <c r="L220" s="3"/>
    </row>
    <row r="221">
      <c r="A221" s="2" t="inlineStr">
        <is>
          <t xml:space="preserve">2026-11-20-08</t>
        </is>
      </c>
      <c r="B221" s="4">
        <v>46346</v>
      </c>
      <c r="C221" s="3" t="inlineStr">
        <is>
          <t xml:space="preserve">Cuma</t>
        </is>
      </c>
      <c r="D221" s="3" t="inlineStr">
        <is>
          <t xml:space="preserve">CMPE453</t>
        </is>
      </c>
      <c r="E221" s="3" t="inlineStr">
        <is>
          <t xml:space="preserve">Ext</t>
        </is>
      </c>
      <c r="F221" s="3" t="inlineStr">
        <is>
          <t xml:space="preserve">P3</t>
        </is>
      </c>
      <c r="G221" s="6">
        <v>8</v>
      </c>
      <c r="H221" s="2" t="inlineStr">
        <is>
          <t xml:space="preserve">Tekrar (kapalı kitap aktif hatırlama, konu başına ~8 dk): AVR I/O portları (D+14)</t>
        </is>
      </c>
      <c r="I221" s="2"/>
      <c r="J221" s="7" t="inlineStr">
        <is>
          <t xml:space="preserve">Not Started</t>
        </is>
      </c>
      <c r="K221" s="7"/>
      <c r="L221" s="3"/>
    </row>
    <row r="222">
      <c r="A222" s="2" t="inlineStr">
        <is>
          <t xml:space="preserve">2026-11-20-09</t>
        </is>
      </c>
      <c r="B222" s="4">
        <v>46346</v>
      </c>
      <c r="C222" s="3" t="inlineStr">
        <is>
          <t xml:space="preserve">Cuma</t>
        </is>
      </c>
      <c r="D222" s="3" t="inlineStr">
        <is>
          <t xml:space="preserve">CMPE371</t>
        </is>
      </c>
      <c r="E222" s="3" t="inlineStr">
        <is>
          <t xml:space="preserve">Ext</t>
        </is>
      </c>
      <c r="F222" s="3" t="inlineStr">
        <is>
          <t xml:space="preserve">P2</t>
        </is>
      </c>
      <c r="G222" s="6">
        <v>8</v>
      </c>
      <c r="H222" s="2" t="inlineStr">
        <is>
          <t xml:space="preserve">Tekrar (kapalı kitap aktif hatırlama, konu başına ~8 dk): LTI III: özellikler (D+14)</t>
        </is>
      </c>
      <c r="I222" s="2"/>
      <c r="J222" s="7" t="inlineStr">
        <is>
          <t xml:space="preserve">Not Started</t>
        </is>
      </c>
      <c r="K222" s="7"/>
      <c r="L222" s="3"/>
    </row>
    <row r="223">
      <c r="A223" s="2" t="inlineStr">
        <is>
          <t xml:space="preserve">2026-11-21-01</t>
        </is>
      </c>
      <c r="B223" s="4">
        <v>46347</v>
      </c>
      <c r="C223" s="3" t="inlineStr">
        <is>
          <t xml:space="preserve">Cumartesi</t>
        </is>
      </c>
      <c r="D223" s="3" t="inlineStr">
        <is>
          <t xml:space="preserve">CMPE371</t>
        </is>
      </c>
      <c r="E223" s="3" t="inlineStr">
        <is>
          <t xml:space="preserve">Min</t>
        </is>
      </c>
      <c r="F223" s="3" t="inlineStr">
        <is>
          <t xml:space="preserve">P1</t>
        </is>
      </c>
      <c r="G223" s="6">
        <v>120</v>
      </c>
      <c r="H223" s="2" t="inlineStr">
        <is>
          <t xml:space="preserve">Vize provası — S1–S7 karma sınav. ▸ 10 soru / 120 dk, süreli</t>
        </is>
      </c>
      <c r="I223" s="2" t="inlineStr">
        <is>
          <t xml:space="preserve">Hoca slaytı + ders kitabı (syllabus'ta belirtilmemiş: Materyal bekleniyor) — Materyal bekleniyor</t>
        </is>
      </c>
      <c r="J223" s="7" t="inlineStr">
        <is>
          <t xml:space="preserve">Not Started</t>
        </is>
      </c>
      <c r="K223" s="7"/>
      <c r="L223" s="3"/>
    </row>
    <row r="224">
      <c r="A224" s="2" t="inlineStr">
        <is>
          <t xml:space="preserve">2026-11-21-02</t>
        </is>
      </c>
      <c r="B224" s="4">
        <v>46347</v>
      </c>
      <c r="C224" s="3" t="inlineStr">
        <is>
          <t xml:space="preserve">Cumartesi</t>
        </is>
      </c>
      <c r="D224" s="3" t="inlineStr">
        <is>
          <t xml:space="preserve">CMPE499</t>
        </is>
      </c>
      <c r="E224" s="3" t="inlineStr">
        <is>
          <t xml:space="preserve">Min</t>
        </is>
      </c>
      <c r="F224" s="3" t="inlineStr">
        <is>
          <t xml:space="preserve">P1</t>
        </is>
      </c>
      <c r="G224" s="6">
        <v>60</v>
      </c>
      <c r="H224" s="2" t="inlineStr">
        <is>
          <t xml:space="preserve">Video: senaryo + materyal — konuşma metni, ekran/slayt materyalleri. ▸ Metni bitir, materyalleri topla</t>
        </is>
      </c>
      <c r="I224" s="2"/>
      <c r="J224" s="7" t="inlineStr">
        <is>
          <t xml:space="preserve">Not Started</t>
        </is>
      </c>
      <c r="K224" s="7"/>
      <c r="L224" s="3" t="inlineStr">
        <is>
          <t xml:space="preserve">★</t>
        </is>
      </c>
    </row>
    <row r="225">
      <c r="A225" s="2" t="inlineStr">
        <is>
          <t xml:space="preserve">2026-11-21-03</t>
        </is>
      </c>
      <c r="B225" s="4">
        <v>46347</v>
      </c>
      <c r="C225" s="3" t="inlineStr">
        <is>
          <t xml:space="preserve">Cumartesi</t>
        </is>
      </c>
      <c r="D225" s="3" t="inlineStr">
        <is>
          <t xml:space="preserve">BIO110</t>
        </is>
      </c>
      <c r="E225" s="3" t="inlineStr">
        <is>
          <t xml:space="preserve">Min</t>
        </is>
      </c>
      <c r="F225" s="3" t="inlineStr">
        <is>
          <t xml:space="preserve">P3</t>
        </is>
      </c>
      <c r="G225" s="6">
        <v>8</v>
      </c>
      <c r="H225" s="2" t="inlineStr">
        <is>
          <t xml:space="preserve">Tekrar (kapalı kitap aktif hatırlama, konu başına ~8 dk): Regulation of Gene Expression (D+3)</t>
        </is>
      </c>
      <c r="I225" s="2"/>
      <c r="J225" s="7" t="inlineStr">
        <is>
          <t xml:space="preserve">Not Started</t>
        </is>
      </c>
      <c r="K225" s="7"/>
      <c r="L225" s="3"/>
    </row>
    <row r="226">
      <c r="A226" s="2" t="inlineStr">
        <is>
          <t xml:space="preserve">2026-11-21-04</t>
        </is>
      </c>
      <c r="B226" s="4">
        <v>46347</v>
      </c>
      <c r="C226" s="3" t="inlineStr">
        <is>
          <t xml:space="preserve">Cumartesi</t>
        </is>
      </c>
      <c r="D226" s="3" t="inlineStr">
        <is>
          <t xml:space="preserve">BIO110</t>
        </is>
      </c>
      <c r="E226" s="3" t="inlineStr">
        <is>
          <t xml:space="preserve">Ext</t>
        </is>
      </c>
      <c r="F226" s="3" t="inlineStr">
        <is>
          <t xml:space="preserve">P3</t>
        </is>
      </c>
      <c r="G226" s="6">
        <v>8</v>
      </c>
      <c r="H226" s="2" t="inlineStr">
        <is>
          <t xml:space="preserve">Tekrar (kapalı kitap aktif hatırlama, konu başına ~8 dk): Mendel and the Gene Idea (D+7)</t>
        </is>
      </c>
      <c r="I226" s="2"/>
      <c r="J226" s="7" t="inlineStr">
        <is>
          <t xml:space="preserve">Not Started</t>
        </is>
      </c>
      <c r="K226" s="7"/>
      <c r="L226" s="3"/>
    </row>
    <row r="227">
      <c r="A227" s="2" t="inlineStr">
        <is>
          <t xml:space="preserve">2026-11-21-05</t>
        </is>
      </c>
      <c r="B227" s="4">
        <v>46347</v>
      </c>
      <c r="C227" s="3" t="inlineStr">
        <is>
          <t xml:space="preserve">Cumartesi</t>
        </is>
      </c>
      <c r="D227" s="3" t="inlineStr">
        <is>
          <t xml:space="preserve">CMPE421</t>
        </is>
      </c>
      <c r="E227" s="3" t="inlineStr">
        <is>
          <t xml:space="preserve">Ext</t>
        </is>
      </c>
      <c r="F227" s="3" t="inlineStr">
        <is>
          <t xml:space="preserve">P3</t>
        </is>
      </c>
      <c r="G227" s="6">
        <v>16</v>
      </c>
      <c r="H227" s="2" t="inlineStr">
        <is>
          <t xml:space="preserve">Tekrar (kapalı kitap aktif hatırlama, konu başına ~8 dk): Uncertainty (D+7); Informed search (D+14)</t>
        </is>
      </c>
      <c r="I227" s="2"/>
      <c r="J227" s="7" t="inlineStr">
        <is>
          <t xml:space="preserve">Not Started</t>
        </is>
      </c>
      <c r="K227" s="7"/>
      <c r="L227" s="3"/>
    </row>
    <row r="228">
      <c r="A228" s="2" t="inlineStr">
        <is>
          <t xml:space="preserve">2026-11-21-06</t>
        </is>
      </c>
      <c r="B228" s="4">
        <v>46347</v>
      </c>
      <c r="C228" s="3" t="inlineStr">
        <is>
          <t xml:space="preserve">Cumartesi</t>
        </is>
      </c>
      <c r="D228" s="3" t="inlineStr">
        <is>
          <t xml:space="preserve">CMPE327</t>
        </is>
      </c>
      <c r="E228" s="3" t="inlineStr">
        <is>
          <t xml:space="preserve">Ext</t>
        </is>
      </c>
      <c r="F228" s="3" t="inlineStr">
        <is>
          <t xml:space="preserve">P3</t>
        </is>
      </c>
      <c r="G228" s="6">
        <v>8</v>
      </c>
      <c r="H228" s="2" t="inlineStr">
        <is>
          <t xml:space="preserve">Tekrar (kapalı kitap aktif hatırlama, konu başına ~8 dk): Regular expressions (D+14)</t>
        </is>
      </c>
      <c r="I228" s="2"/>
      <c r="J228" s="7" t="inlineStr">
        <is>
          <t xml:space="preserve">Not Started</t>
        </is>
      </c>
      <c r="K228" s="7"/>
      <c r="L228" s="3"/>
    </row>
    <row r="229">
      <c r="A229" s="2" t="inlineStr">
        <is>
          <t xml:space="preserve">2026-11-21-07</t>
        </is>
      </c>
      <c r="B229" s="4">
        <v>46347</v>
      </c>
      <c r="C229" s="3" t="inlineStr">
        <is>
          <t xml:space="preserve">Cumartesi</t>
        </is>
      </c>
      <c r="D229" s="3" t="inlineStr">
        <is>
          <t xml:space="preserve">CMPE453</t>
        </is>
      </c>
      <c r="E229" s="3" t="inlineStr">
        <is>
          <t xml:space="preserve">Ext</t>
        </is>
      </c>
      <c r="F229" s="3" t="inlineStr">
        <is>
          <t xml:space="preserve">P3</t>
        </is>
      </c>
      <c r="G229" s="6">
        <v>8</v>
      </c>
      <c r="H229" s="2" t="inlineStr">
        <is>
          <t xml:space="preserve">Tekrar (kapalı kitap aktif hatırlama, konu başına ~8 dk): Digital input (D+14)</t>
        </is>
      </c>
      <c r="I229" s="2"/>
      <c r="J229" s="7" t="inlineStr">
        <is>
          <t xml:space="preserve">Not Started</t>
        </is>
      </c>
      <c r="K229" s="7"/>
      <c r="L229" s="3"/>
    </row>
    <row r="230">
      <c r="A230" s="2" t="inlineStr">
        <is>
          <t xml:space="preserve">2026-11-21-08</t>
        </is>
      </c>
      <c r="B230" s="4">
        <v>46347</v>
      </c>
      <c r="C230" s="3" t="inlineStr">
        <is>
          <t xml:space="preserve">Cumartesi</t>
        </is>
      </c>
      <c r="D230" s="3" t="inlineStr">
        <is>
          <t xml:space="preserve">CMPE371</t>
        </is>
      </c>
      <c r="E230" s="3" t="inlineStr">
        <is>
          <t xml:space="preserve">Ext</t>
        </is>
      </c>
      <c r="F230" s="3" t="inlineStr">
        <is>
          <t xml:space="preserve">P2</t>
        </is>
      </c>
      <c r="G230" s="6">
        <v>8</v>
      </c>
      <c r="H230" s="2" t="inlineStr">
        <is>
          <t xml:space="preserve">Tekrar (kapalı kitap aktif hatırlama, konu başına ~8 dk): Differential and difference equations (D+14)</t>
        </is>
      </c>
      <c r="I230" s="2"/>
      <c r="J230" s="7" t="inlineStr">
        <is>
          <t xml:space="preserve">Not Started</t>
        </is>
      </c>
      <c r="K230" s="7"/>
      <c r="L230" s="3"/>
    </row>
    <row r="231">
      <c r="A231" s="2" t="inlineStr">
        <is>
          <t xml:space="preserve">2026-11-22-01</t>
        </is>
      </c>
      <c r="B231" s="4">
        <v>46348</v>
      </c>
      <c r="C231" s="3" t="inlineStr">
        <is>
          <t xml:space="preserve">Pazar</t>
        </is>
      </c>
      <c r="D231" s="3" t="inlineStr">
        <is>
          <t xml:space="preserve">BIO110</t>
        </is>
      </c>
      <c r="E231" s="3" t="inlineStr">
        <is>
          <t xml:space="preserve">Min</t>
        </is>
      </c>
      <c r="F231" s="3" t="inlineStr">
        <is>
          <t xml:space="preserve">P2</t>
        </is>
      </c>
      <c r="G231" s="6">
        <v>60</v>
      </c>
      <c r="H231" s="2" t="inlineStr">
        <is>
          <t xml:space="preserve">Konu testi 4 (B14–B16) — karma test. ▸ 35 soru + yanlış analizi</t>
        </is>
      </c>
      <c r="I231" s="2" t="inlineStr">
        <is>
          <t xml:space="preserve">Campbell Biology (ilgili bölüm; baskıya göre numara değişir) + hoca slaytı — Materyal bekleniyor</t>
        </is>
      </c>
      <c r="J231" s="7" t="inlineStr">
        <is>
          <t xml:space="preserve">Not Started</t>
        </is>
      </c>
      <c r="K231" s="7"/>
      <c r="L231" s="3"/>
    </row>
    <row r="232">
      <c r="A232" s="2" t="inlineStr">
        <is>
          <t xml:space="preserve">2026-11-22-02</t>
        </is>
      </c>
      <c r="B232" s="4">
        <v>46348</v>
      </c>
      <c r="C232" s="3" t="inlineStr">
        <is>
          <t xml:space="preserve">Pazar</t>
        </is>
      </c>
      <c r="D232" s="3" t="inlineStr">
        <is>
          <t xml:space="preserve">CMPE499</t>
        </is>
      </c>
      <c r="E232" s="3" t="inlineStr">
        <is>
          <t xml:space="preserve">Min</t>
        </is>
      </c>
      <c r="F232" s="3" t="inlineStr">
        <is>
          <t xml:space="preserve">P1</t>
        </is>
      </c>
      <c r="G232" s="6">
        <v>60</v>
      </c>
      <c r="H232" s="2" t="inlineStr">
        <is>
          <t xml:space="preserve">Video: kayıt — ses kontrolü, kayıt. ▸ En az 2 tam kayıt</t>
        </is>
      </c>
      <c r="I232" s="2"/>
      <c r="J232" s="7" t="inlineStr">
        <is>
          <t xml:space="preserve">Not Started</t>
        </is>
      </c>
      <c r="K232" s="7"/>
      <c r="L232" s="3" t="inlineStr">
        <is>
          <t xml:space="preserve">★</t>
        </is>
      </c>
    </row>
    <row r="233">
      <c r="A233" s="2" t="inlineStr">
        <is>
          <t xml:space="preserve">2026-11-22-03</t>
        </is>
      </c>
      <c r="B233" s="4">
        <v>46348</v>
      </c>
      <c r="C233" s="3" t="inlineStr">
        <is>
          <t xml:space="preserve">Pazar</t>
        </is>
      </c>
      <c r="D233" s="3" t="inlineStr">
        <is>
          <t xml:space="preserve">CMPE371</t>
        </is>
      </c>
      <c r="E233" s="3" t="inlineStr">
        <is>
          <t xml:space="preserve">Min</t>
        </is>
      </c>
      <c r="F233" s="3" t="inlineStr">
        <is>
          <t xml:space="preserve">P1</t>
        </is>
      </c>
      <c r="G233" s="6">
        <v>90</v>
      </c>
      <c r="H233" s="2" t="inlineStr">
        <is>
          <t xml:space="preserve">Yanlış analizi + problem seti — prova yanlışları. ▸ yanlış konulardan 10 problem</t>
        </is>
      </c>
      <c r="I233" s="2" t="inlineStr">
        <is>
          <t xml:space="preserve">Hoca slaytı + ders kitabı (syllabus'ta belirtilmemiş: Materyal bekleniyor) — Materyal bekleniyor</t>
        </is>
      </c>
      <c r="J233" s="7" t="inlineStr">
        <is>
          <t xml:space="preserve">Not Started</t>
        </is>
      </c>
      <c r="K233" s="7"/>
      <c r="L233" s="3"/>
    </row>
    <row r="234">
      <c r="A234" s="2" t="inlineStr">
        <is>
          <t xml:space="preserve">2026-11-22-04</t>
        </is>
      </c>
      <c r="B234" s="4">
        <v>46348</v>
      </c>
      <c r="C234" s="3" t="inlineStr">
        <is>
          <t xml:space="preserve">Pazar</t>
        </is>
      </c>
      <c r="D234" s="3" t="inlineStr">
        <is>
          <t xml:space="preserve">BIO110</t>
        </is>
      </c>
      <c r="E234" s="3" t="inlineStr">
        <is>
          <t xml:space="preserve">Min</t>
        </is>
      </c>
      <c r="F234" s="3" t="inlineStr">
        <is>
          <t xml:space="preserve">P3</t>
        </is>
      </c>
      <c r="G234" s="6">
        <v>8</v>
      </c>
      <c r="H234" s="2" t="inlineStr">
        <is>
          <t xml:space="preserve">Tekrar (kapalı kitap aktif hatırlama, konu başına ~8 dk): DNA Tools and Biotechnology (D+3)</t>
        </is>
      </c>
      <c r="I234" s="2"/>
      <c r="J234" s="7" t="inlineStr">
        <is>
          <t xml:space="preserve">Not Started</t>
        </is>
      </c>
      <c r="K234" s="7"/>
      <c r="L234" s="3"/>
    </row>
    <row r="235">
      <c r="A235" s="2" t="inlineStr">
        <is>
          <t xml:space="preserve">2026-11-22-05</t>
        </is>
      </c>
      <c r="B235" s="4">
        <v>46348</v>
      </c>
      <c r="C235" s="3" t="inlineStr">
        <is>
          <t xml:space="preserve">Pazar</t>
        </is>
      </c>
      <c r="D235" s="3" t="inlineStr">
        <is>
          <t xml:space="preserve">BIO110</t>
        </is>
      </c>
      <c r="E235" s="3" t="inlineStr">
        <is>
          <t xml:space="preserve">Ext</t>
        </is>
      </c>
      <c r="F235" s="3" t="inlineStr">
        <is>
          <t xml:space="preserve">P3</t>
        </is>
      </c>
      <c r="G235" s="6">
        <v>8</v>
      </c>
      <c r="H235" s="2" t="inlineStr">
        <is>
          <t xml:space="preserve">Tekrar (kapalı kitap aktif hatırlama, konu başına ~8 dk): Chromosomal Basis of Inheritance (D+7)</t>
        </is>
      </c>
      <c r="I235" s="2"/>
      <c r="J235" s="7" t="inlineStr">
        <is>
          <t xml:space="preserve">Not Started</t>
        </is>
      </c>
      <c r="K235" s="7"/>
      <c r="L235" s="3"/>
    </row>
    <row r="236">
      <c r="A236" s="2" t="inlineStr">
        <is>
          <t xml:space="preserve">2026-11-22-06</t>
        </is>
      </c>
      <c r="B236" s="4">
        <v>46348</v>
      </c>
      <c r="C236" s="3" t="inlineStr">
        <is>
          <t xml:space="preserve">Pazar</t>
        </is>
      </c>
      <c r="D236" s="3" t="inlineStr">
        <is>
          <t xml:space="preserve">CMPE453</t>
        </is>
      </c>
      <c r="E236" s="3" t="inlineStr">
        <is>
          <t xml:space="preserve">Ext</t>
        </is>
      </c>
      <c r="F236" s="3" t="inlineStr">
        <is>
          <t xml:space="preserve">P3</t>
        </is>
      </c>
      <c r="G236" s="6">
        <v>16</v>
      </c>
      <c r="H236" s="2" t="inlineStr">
        <is>
          <t xml:space="preserve">Tekrar (kapalı kitap aktif hatırlama, konu başına ~8 dk): Interrupts (D+7); USART (D+14)</t>
        </is>
      </c>
      <c r="I236" s="2"/>
      <c r="J236" s="7" t="inlineStr">
        <is>
          <t xml:space="preserve">Not Started</t>
        </is>
      </c>
      <c r="K236" s="7"/>
      <c r="L236" s="3"/>
    </row>
    <row r="237">
      <c r="A237" s="2" t="inlineStr">
        <is>
          <t xml:space="preserve">2026-11-22-07</t>
        </is>
      </c>
      <c r="B237" s="4">
        <v>46348</v>
      </c>
      <c r="C237" s="3" t="inlineStr">
        <is>
          <t xml:space="preserve">Pazar</t>
        </is>
      </c>
      <c r="D237" s="3" t="inlineStr">
        <is>
          <t xml:space="preserve">CMPE371</t>
        </is>
      </c>
      <c r="E237" s="3" t="inlineStr">
        <is>
          <t xml:space="preserve">Ext</t>
        </is>
      </c>
      <c r="F237" s="3" t="inlineStr">
        <is>
          <t xml:space="preserve">P2</t>
        </is>
      </c>
      <c r="G237" s="6">
        <v>16</v>
      </c>
      <c r="H237" s="2" t="inlineStr">
        <is>
          <t xml:space="preserve">Tekrar (kapalı kitap aktif hatırlama, konu başına ~8 dk): CTFT (D+7); CTFS (D+14)</t>
        </is>
      </c>
      <c r="I237" s="2"/>
      <c r="J237" s="7" t="inlineStr">
        <is>
          <t xml:space="preserve">Not Started</t>
        </is>
      </c>
      <c r="K237" s="7"/>
      <c r="L237" s="3"/>
    </row>
    <row r="238">
      <c r="A238" s="2" t="inlineStr">
        <is>
          <t xml:space="preserve">2026-11-22-08</t>
        </is>
      </c>
      <c r="B238" s="4">
        <v>46348</v>
      </c>
      <c r="C238" s="3" t="inlineStr">
        <is>
          <t xml:space="preserve">Pazar</t>
        </is>
      </c>
      <c r="D238" s="3" t="inlineStr">
        <is>
          <t xml:space="preserve">CMPE327</t>
        </is>
      </c>
      <c r="E238" s="3" t="inlineStr">
        <is>
          <t xml:space="preserve">Ext</t>
        </is>
      </c>
      <c r="F238" s="3" t="inlineStr">
        <is>
          <t xml:space="preserve">P3</t>
        </is>
      </c>
      <c r="G238" s="6">
        <v>8</v>
      </c>
      <c r="H238" s="2" t="inlineStr">
        <is>
          <t xml:space="preserve">Tekrar (kapalı kitap aktif hatırlama, konu başına ~8 dk): DFA state minimization (D+14)</t>
        </is>
      </c>
      <c r="I238" s="2"/>
      <c r="J238" s="7" t="inlineStr">
        <is>
          <t xml:space="preserve">Not Started</t>
        </is>
      </c>
      <c r="K238" s="7"/>
      <c r="L238" s="3"/>
    </row>
    <row r="239">
      <c r="A239" s="2" t="inlineStr">
        <is>
          <t xml:space="preserve">2026-11-22-09</t>
        </is>
      </c>
      <c r="B239" s="4">
        <v>46348</v>
      </c>
      <c r="C239" s="3" t="inlineStr">
        <is>
          <t xml:space="preserve">Pazar</t>
        </is>
      </c>
      <c r="D239" s="3" t="inlineStr">
        <is>
          <t xml:space="preserve">CMPE421</t>
        </is>
      </c>
      <c r="E239" s="3" t="inlineStr">
        <is>
          <t xml:space="preserve">Ext</t>
        </is>
      </c>
      <c r="F239" s="3" t="inlineStr">
        <is>
          <t xml:space="preserve">P3</t>
        </is>
      </c>
      <c r="G239" s="6">
        <v>8</v>
      </c>
      <c r="H239" s="2" t="inlineStr">
        <is>
          <t xml:space="preserve">Tekrar (kapalı kitap aktif hatırlama, konu başına ~8 dk): Game playing (D+14)</t>
        </is>
      </c>
      <c r="I239" s="2"/>
      <c r="J239" s="7" t="inlineStr">
        <is>
          <t xml:space="preserve">Not Started</t>
        </is>
      </c>
      <c r="K239" s="7"/>
      <c r="L239" s="3"/>
    </row>
    <row r="240">
      <c r="A240" s="2" t="inlineStr">
        <is>
          <t xml:space="preserve">2026-11-23-01</t>
        </is>
      </c>
      <c r="B240" s="4">
        <v>46349</v>
      </c>
      <c r="C240" s="3" t="inlineStr">
        <is>
          <t xml:space="preserve">Pazartesi</t>
        </is>
      </c>
      <c r="D240" s="3" t="inlineStr">
        <is>
          <t xml:space="preserve">CMPE371</t>
        </is>
      </c>
      <c r="E240" s="3" t="inlineStr">
        <is>
          <t xml:space="preserve">Min</t>
        </is>
      </c>
      <c r="F240" s="3" t="inlineStr">
        <is>
          <t xml:space="preserve">P1</t>
        </is>
      </c>
      <c r="G240" s="6">
        <v>90</v>
      </c>
      <c r="H240" s="2" t="inlineStr">
        <is>
          <t xml:space="preserve">Problem seti 2 — karma. ▸ 10 karma problem</t>
        </is>
      </c>
      <c r="I240" s="2" t="inlineStr">
        <is>
          <t xml:space="preserve">Hoca slaytı + ders kitabı (syllabus'ta belirtilmemiş: Materyal bekleniyor) — Materyal bekleniyor</t>
        </is>
      </c>
      <c r="J240" s="7" t="inlineStr">
        <is>
          <t xml:space="preserve">Not Started</t>
        </is>
      </c>
      <c r="K240" s="7"/>
      <c r="L240" s="3"/>
    </row>
    <row r="241">
      <c r="A241" s="2" t="inlineStr">
        <is>
          <t xml:space="preserve">2026-11-23-02</t>
        </is>
      </c>
      <c r="B241" s="4">
        <v>46349</v>
      </c>
      <c r="C241" s="3" t="inlineStr">
        <is>
          <t xml:space="preserve">Pazartesi</t>
        </is>
      </c>
      <c r="D241" s="3" t="inlineStr">
        <is>
          <t xml:space="preserve">CMPE499</t>
        </is>
      </c>
      <c r="E241" s="3" t="inlineStr">
        <is>
          <t xml:space="preserve">Min</t>
        </is>
      </c>
      <c r="F241" s="3" t="inlineStr">
        <is>
          <t xml:space="preserve">P2</t>
        </is>
      </c>
      <c r="G241" s="6">
        <v>90</v>
      </c>
      <c r="H241" s="2" t="inlineStr">
        <is>
          <t xml:space="preserve">Video: düzenleme — kes/birleştir, altyazı/başlık. ▸ İlk düzenlenmiş sürüm</t>
        </is>
      </c>
      <c r="I241" s="2"/>
      <c r="J241" s="7" t="inlineStr">
        <is>
          <t xml:space="preserve">Not Started</t>
        </is>
      </c>
      <c r="K241" s="7"/>
      <c r="L241" s="3" t="inlineStr">
        <is>
          <t xml:space="preserve">★</t>
        </is>
      </c>
    </row>
    <row r="242">
      <c r="A242" s="2" t="inlineStr">
        <is>
          <t xml:space="preserve">2026-11-23-03</t>
        </is>
      </c>
      <c r="B242" s="4">
        <v>46349</v>
      </c>
      <c r="C242" s="3" t="inlineStr">
        <is>
          <t xml:space="preserve">Pazartesi</t>
        </is>
      </c>
      <c r="D242" s="3" t="inlineStr">
        <is>
          <t xml:space="preserve">BIO110</t>
        </is>
      </c>
      <c r="E242" s="3" t="inlineStr">
        <is>
          <t xml:space="preserve">Ext</t>
        </is>
      </c>
      <c r="F242" s="3" t="inlineStr">
        <is>
          <t xml:space="preserve">P2</t>
        </is>
      </c>
      <c r="G242" s="6">
        <v>8</v>
      </c>
      <c r="H242" s="2" t="inlineStr">
        <is>
          <t xml:space="preserve">Tekrar (kapalı kitap aktif hatırlama, konu başına ~8 dk): Molecular Basis of Inheritance (D+7)</t>
        </is>
      </c>
      <c r="I242" s="2"/>
      <c r="J242" s="7" t="inlineStr">
        <is>
          <t xml:space="preserve">Not Started</t>
        </is>
      </c>
      <c r="K242" s="7"/>
      <c r="L242" s="3"/>
    </row>
    <row r="243">
      <c r="A243" s="2" t="inlineStr">
        <is>
          <t xml:space="preserve">2026-11-23-04</t>
        </is>
      </c>
      <c r="B243" s="4">
        <v>46349</v>
      </c>
      <c r="C243" s="3" t="inlineStr">
        <is>
          <t xml:space="preserve">Pazartesi</t>
        </is>
      </c>
      <c r="D243" s="3" t="inlineStr">
        <is>
          <t xml:space="preserve">CMPE327</t>
        </is>
      </c>
      <c r="E243" s="3" t="inlineStr">
        <is>
          <t xml:space="preserve">Ext</t>
        </is>
      </c>
      <c r="F243" s="3" t="inlineStr">
        <is>
          <t xml:space="preserve">P3</t>
        </is>
      </c>
      <c r="G243" s="6">
        <v>8</v>
      </c>
      <c r="H243" s="2" t="inlineStr">
        <is>
          <t xml:space="preserve">Tekrar (kapalı kitap aktif hatırlama, konu başına ~8 dk): Myhill–Nerode (D+14)</t>
        </is>
      </c>
      <c r="I243" s="2"/>
      <c r="J243" s="7" t="inlineStr">
        <is>
          <t xml:space="preserve">Not Started</t>
        </is>
      </c>
      <c r="K243" s="7"/>
      <c r="L243" s="3"/>
    </row>
    <row r="244">
      <c r="A244" s="2" t="inlineStr">
        <is>
          <t xml:space="preserve">2026-11-23-05</t>
        </is>
      </c>
      <c r="B244" s="4">
        <v>46349</v>
      </c>
      <c r="C244" s="3" t="inlineStr">
        <is>
          <t xml:space="preserve">Pazartesi</t>
        </is>
      </c>
      <c r="D244" s="3" t="inlineStr">
        <is>
          <t xml:space="preserve">CMPE421</t>
        </is>
      </c>
      <c r="E244" s="3" t="inlineStr">
        <is>
          <t xml:space="preserve">Ext</t>
        </is>
      </c>
      <c r="F244" s="3" t="inlineStr">
        <is>
          <t xml:space="preserve">P3</t>
        </is>
      </c>
      <c r="G244" s="6">
        <v>8</v>
      </c>
      <c r="H244" s="2" t="inlineStr">
        <is>
          <t xml:space="preserve">Tekrar (kapalı kitap aktif hatırlama, konu başına ~8 dk): CSP (D+14)</t>
        </is>
      </c>
      <c r="I244" s="2"/>
      <c r="J244" s="7" t="inlineStr">
        <is>
          <t xml:space="preserve">Not Started</t>
        </is>
      </c>
      <c r="K244" s="7"/>
      <c r="L244" s="3"/>
    </row>
    <row r="245">
      <c r="A245" s="2" t="inlineStr">
        <is>
          <t xml:space="preserve">2026-11-23-06</t>
        </is>
      </c>
      <c r="B245" s="4">
        <v>46349</v>
      </c>
      <c r="C245" s="3" t="inlineStr">
        <is>
          <t xml:space="preserve">Pazartesi</t>
        </is>
      </c>
      <c r="D245" s="3" t="inlineStr">
        <is>
          <t xml:space="preserve">CMPE453</t>
        </is>
      </c>
      <c r="E245" s="3" t="inlineStr">
        <is>
          <t xml:space="preserve">Ext</t>
        </is>
      </c>
      <c r="F245" s="3" t="inlineStr">
        <is>
          <t xml:space="preserve">P3</t>
        </is>
      </c>
      <c r="G245" s="6">
        <v>8</v>
      </c>
      <c r="H245" s="2" t="inlineStr">
        <is>
          <t xml:space="preserve">Tekrar (kapalı kitap aktif hatırlama, konu başına ~8 dk): SPI ve I2C (D+14)</t>
        </is>
      </c>
      <c r="I245" s="2"/>
      <c r="J245" s="7" t="inlineStr">
        <is>
          <t xml:space="preserve">Not Started</t>
        </is>
      </c>
      <c r="K245" s="7"/>
      <c r="L245" s="3"/>
    </row>
    <row r="246">
      <c r="A246" s="2" t="inlineStr">
        <is>
          <t xml:space="preserve">2026-11-24-01</t>
        </is>
      </c>
      <c r="B246" s="4">
        <v>46350</v>
      </c>
      <c r="C246" s="3" t="inlineStr">
        <is>
          <t xml:space="preserve">Salı</t>
        </is>
      </c>
      <c r="D246" s="3" t="inlineStr">
        <is>
          <t xml:space="preserve">BIO110</t>
        </is>
      </c>
      <c r="E246" s="3" t="inlineStr">
        <is>
          <t xml:space="preserve">Min</t>
        </is>
      </c>
      <c r="F246" s="3" t="inlineStr">
        <is>
          <t xml:space="preserve">P1</t>
        </is>
      </c>
      <c r="G246" s="6">
        <v>90</v>
      </c>
      <c r="H246" s="2" t="inlineStr">
        <is>
          <t xml:space="preserve">Karma deneme 2 (B10–B16) — tam kapsam deneme. ▸ 60 soru, sınav hızında</t>
        </is>
      </c>
      <c r="I246" s="2" t="inlineStr">
        <is>
          <t xml:space="preserve">Campbell Biology (ilgili bölüm; baskıya göre numara değişir) + hoca slaytı — Materyal bekleniyor</t>
        </is>
      </c>
      <c r="J246" s="7" t="inlineStr">
        <is>
          <t xml:space="preserve">Not Started</t>
        </is>
      </c>
      <c r="K246" s="7"/>
      <c r="L246" s="3"/>
    </row>
    <row r="247">
      <c r="A247" s="2" t="inlineStr">
        <is>
          <t xml:space="preserve">2026-11-24-02</t>
        </is>
      </c>
      <c r="B247" s="4">
        <v>46350</v>
      </c>
      <c r="C247" s="3" t="inlineStr">
        <is>
          <t xml:space="preserve">Salı</t>
        </is>
      </c>
      <c r="D247" s="3" t="inlineStr">
        <is>
          <t xml:space="preserve">BIO110</t>
        </is>
      </c>
      <c r="E247" s="3" t="inlineStr">
        <is>
          <t xml:space="preserve">Min</t>
        </is>
      </c>
      <c r="F247" s="3" t="inlineStr">
        <is>
          <t xml:space="preserve">P1</t>
        </is>
      </c>
      <c r="G247" s="6">
        <v>40</v>
      </c>
      <c r="H247" s="2" t="inlineStr">
        <is>
          <t xml:space="preserve">Deneme 2 yanlış analizi — sebep etiketle. ▸ Zayıf konuları yeniden çalış</t>
        </is>
      </c>
      <c r="I247" s="2" t="inlineStr">
        <is>
          <t xml:space="preserve">Campbell Biology (ilgili bölüm; baskıya göre numara değişir) + hoca slaytı — Materyal bekleniyor</t>
        </is>
      </c>
      <c r="J247" s="7" t="inlineStr">
        <is>
          <t xml:space="preserve">Not Started</t>
        </is>
      </c>
      <c r="K247" s="7"/>
      <c r="L247" s="3"/>
    </row>
    <row r="248">
      <c r="A248" s="2" t="inlineStr">
        <is>
          <t xml:space="preserve">2026-11-24-03</t>
        </is>
      </c>
      <c r="B248" s="4">
        <v>46350</v>
      </c>
      <c r="C248" s="3" t="inlineStr">
        <is>
          <t xml:space="preserve">Salı</t>
        </is>
      </c>
      <c r="D248" s="3" t="inlineStr">
        <is>
          <t xml:space="preserve">CMPE499</t>
        </is>
      </c>
      <c r="E248" s="3" t="inlineStr">
        <is>
          <t xml:space="preserve">Min</t>
        </is>
      </c>
      <c r="F248" s="3" t="inlineStr">
        <is>
          <t xml:space="preserve">P2</t>
        </is>
      </c>
      <c r="G248" s="6">
        <v>40</v>
      </c>
      <c r="H248" s="2" t="inlineStr">
        <is>
          <t xml:space="preserve">Video: kalite kontrolü — ses, süre, çözünürlük, dosya boyutu. ▸ Hataları düzelt</t>
        </is>
      </c>
      <c r="I248" s="2"/>
      <c r="J248" s="7" t="inlineStr">
        <is>
          <t xml:space="preserve">Not Started</t>
        </is>
      </c>
      <c r="K248" s="7"/>
      <c r="L248" s="3" t="inlineStr">
        <is>
          <t xml:space="preserve">★</t>
        </is>
      </c>
    </row>
    <row r="249">
      <c r="A249" s="2" t="inlineStr">
        <is>
          <t xml:space="preserve">2026-11-24-04</t>
        </is>
      </c>
      <c r="B249" s="4">
        <v>46350</v>
      </c>
      <c r="C249" s="3" t="inlineStr">
        <is>
          <t xml:space="preserve">Salı</t>
        </is>
      </c>
      <c r="D249" s="3" t="inlineStr">
        <is>
          <t xml:space="preserve">BIO110</t>
        </is>
      </c>
      <c r="E249" s="3" t="inlineStr">
        <is>
          <t xml:space="preserve">Ext</t>
        </is>
      </c>
      <c r="F249" s="3" t="inlineStr">
        <is>
          <t xml:space="preserve">P2</t>
        </is>
      </c>
      <c r="G249" s="6">
        <v>8</v>
      </c>
      <c r="H249" s="2" t="inlineStr">
        <is>
          <t xml:space="preserve">Tekrar (kapalı kitap aktif hatırlama, konu başına ~8 dk): Gene Expression: Gene to Protein (D+7)</t>
        </is>
      </c>
      <c r="I249" s="2"/>
      <c r="J249" s="7" t="inlineStr">
        <is>
          <t xml:space="preserve">Not Started</t>
        </is>
      </c>
      <c r="K249" s="7"/>
      <c r="L249" s="3"/>
    </row>
    <row r="250">
      <c r="A250" s="2" t="inlineStr">
        <is>
          <t xml:space="preserve">2026-11-24-05</t>
        </is>
      </c>
      <c r="B250" s="4">
        <v>46350</v>
      </c>
      <c r="C250" s="3" t="inlineStr">
        <is>
          <t xml:space="preserve">Salı</t>
        </is>
      </c>
      <c r="D250" s="3" t="inlineStr">
        <is>
          <t xml:space="preserve">CMPE453</t>
        </is>
      </c>
      <c r="E250" s="3" t="inlineStr">
        <is>
          <t xml:space="preserve">Ext</t>
        </is>
      </c>
      <c r="F250" s="3" t="inlineStr">
        <is>
          <t xml:space="preserve">P3</t>
        </is>
      </c>
      <c r="G250" s="6">
        <v>16</v>
      </c>
      <c r="H250" s="2" t="inlineStr">
        <is>
          <t xml:space="preserve">Tekrar (kapalı kitap aktif hatırlama, konu başına ~8 dk): Timers/counters (D+7); ADC (D+14)</t>
        </is>
      </c>
      <c r="I250" s="2"/>
      <c r="J250" s="7" t="inlineStr">
        <is>
          <t xml:space="preserve">Not Started</t>
        </is>
      </c>
      <c r="K250" s="7"/>
      <c r="L250" s="3"/>
    </row>
    <row r="251">
      <c r="A251" s="2" t="inlineStr">
        <is>
          <t xml:space="preserve">2026-11-24-06</t>
        </is>
      </c>
      <c r="B251" s="4">
        <v>46350</v>
      </c>
      <c r="C251" s="3" t="inlineStr">
        <is>
          <t xml:space="preserve">Salı</t>
        </is>
      </c>
      <c r="D251" s="3" t="inlineStr">
        <is>
          <t xml:space="preserve">CMPE327</t>
        </is>
      </c>
      <c r="E251" s="3" t="inlineStr">
        <is>
          <t xml:space="preserve">Ext</t>
        </is>
      </c>
      <c r="F251" s="3" t="inlineStr">
        <is>
          <t xml:space="preserve">P3</t>
        </is>
      </c>
      <c r="G251" s="6">
        <v>8</v>
      </c>
      <c r="H251" s="2" t="inlineStr">
        <is>
          <t xml:space="preserve">Tekrar (kapalı kitap aktif hatırlama, konu başına ~8 dk): Derivatives + regex denkliği (D+14)</t>
        </is>
      </c>
      <c r="I251" s="2"/>
      <c r="J251" s="7" t="inlineStr">
        <is>
          <t xml:space="preserve">Not Started</t>
        </is>
      </c>
      <c r="K251" s="7"/>
      <c r="L251" s="3"/>
    </row>
    <row r="252">
      <c r="A252" s="2" t="inlineStr">
        <is>
          <t xml:space="preserve">2026-11-24-07</t>
        </is>
      </c>
      <c r="B252" s="4">
        <v>46350</v>
      </c>
      <c r="C252" s="3" t="inlineStr">
        <is>
          <t xml:space="preserve">Salı</t>
        </is>
      </c>
      <c r="D252" s="3" t="inlineStr">
        <is>
          <t xml:space="preserve">CMPE421</t>
        </is>
      </c>
      <c r="E252" s="3" t="inlineStr">
        <is>
          <t xml:space="preserve">Ext</t>
        </is>
      </c>
      <c r="F252" s="3" t="inlineStr">
        <is>
          <t xml:space="preserve">P3</t>
        </is>
      </c>
      <c r="G252" s="6">
        <v>8</v>
      </c>
      <c r="H252" s="2" t="inlineStr">
        <is>
          <t xml:space="preserve">Tekrar (kapalı kitap aktif hatırlama, konu başına ~8 dk): Planning (D+14)</t>
        </is>
      </c>
      <c r="I252" s="2"/>
      <c r="J252" s="7" t="inlineStr">
        <is>
          <t xml:space="preserve">Not Started</t>
        </is>
      </c>
      <c r="K252" s="7"/>
      <c r="L252" s="3"/>
    </row>
    <row r="253">
      <c r="A253" s="2" t="inlineStr">
        <is>
          <t xml:space="preserve">2026-11-25-01</t>
        </is>
      </c>
      <c r="B253" s="4">
        <v>46351</v>
      </c>
      <c r="C253" s="3" t="inlineStr">
        <is>
          <t xml:space="preserve">Çarşamba</t>
        </is>
      </c>
      <c r="D253" s="3" t="inlineStr">
        <is>
          <t xml:space="preserve">BIO110</t>
        </is>
      </c>
      <c r="E253" s="3" t="inlineStr">
        <is>
          <t xml:space="preserve">Min</t>
        </is>
      </c>
      <c r="F253" s="3" t="inlineStr">
        <is>
          <t xml:space="preserve">P1</t>
        </is>
      </c>
      <c r="G253" s="6">
        <v>60</v>
      </c>
      <c r="H253" s="2" t="inlineStr">
        <is>
          <t xml:space="preserve">Midterm 2 son tekrar — şemalar + genetik problem tipleri. ▸ 25 karışık soru + flashcard</t>
        </is>
      </c>
      <c r="I253" s="2" t="inlineStr">
        <is>
          <t xml:space="preserve">Campbell Biology (ilgili bölüm; baskıya göre numara değişir) + hoca slaytı — Materyal bekleniyor</t>
        </is>
      </c>
      <c r="J253" s="7" t="inlineStr">
        <is>
          <t xml:space="preserve">Not Started</t>
        </is>
      </c>
      <c r="K253" s="7"/>
      <c r="L253" s="3"/>
    </row>
    <row r="254">
      <c r="A254" s="2" t="inlineStr">
        <is>
          <t xml:space="preserve">2026-11-25-02</t>
        </is>
      </c>
      <c r="B254" s="4">
        <v>46351</v>
      </c>
      <c r="C254" s="3" t="inlineStr">
        <is>
          <t xml:space="preserve">Çarşamba</t>
        </is>
      </c>
      <c r="D254" s="3" t="inlineStr">
        <is>
          <t xml:space="preserve">CMPE499</t>
        </is>
      </c>
      <c r="E254" s="3" t="inlineStr">
        <is>
          <t xml:space="preserve">Min</t>
        </is>
      </c>
      <c r="F254" s="3" t="inlineStr">
        <is>
          <t xml:space="preserve">P2</t>
        </is>
      </c>
      <c r="G254" s="6">
        <v>20</v>
      </c>
      <c r="H254" s="2" t="inlineStr">
        <is>
          <t xml:space="preserve">Video TESLİM — Video yükle (son tarih 29 Kas; 3 gün erken). ▸ Yükleme onayını kaydet</t>
        </is>
      </c>
      <c r="I254" s="2"/>
      <c r="J254" s="7" t="inlineStr">
        <is>
          <t xml:space="preserve">Not Started</t>
        </is>
      </c>
      <c r="K254" s="7"/>
      <c r="L254" s="3" t="inlineStr">
        <is>
          <t xml:space="preserve">★</t>
        </is>
      </c>
    </row>
    <row r="255">
      <c r="A255" s="2" t="inlineStr">
        <is>
          <t xml:space="preserve">2026-11-25-03</t>
        </is>
      </c>
      <c r="B255" s="4">
        <v>46351</v>
      </c>
      <c r="C255" s="3" t="inlineStr">
        <is>
          <t xml:space="preserve">Çarşamba</t>
        </is>
      </c>
      <c r="D255" s="3" t="inlineStr">
        <is>
          <t xml:space="preserve">CMPE371</t>
        </is>
      </c>
      <c r="E255" s="3" t="inlineStr">
        <is>
          <t xml:space="preserve">Min</t>
        </is>
      </c>
      <c r="F255" s="3" t="inlineStr">
        <is>
          <t xml:space="preserve">P2</t>
        </is>
      </c>
      <c r="G255" s="6">
        <v>45</v>
      </c>
      <c r="H255" s="2" t="inlineStr">
        <is>
          <t xml:space="preserve">Formül/dönüşüm tablosu son tekrar — tek sayfa özet. ▸ kapalı kitap yeniden yaz</t>
        </is>
      </c>
      <c r="I255" s="2" t="inlineStr">
        <is>
          <t xml:space="preserve">Hoca slaytı + ders kitabı (syllabus'ta belirtilmemiş: Materyal bekleniyor) — Materyal bekleniyor</t>
        </is>
      </c>
      <c r="J255" s="7" t="inlineStr">
        <is>
          <t xml:space="preserve">Not Started</t>
        </is>
      </c>
      <c r="K255" s="7"/>
      <c r="L255" s="3"/>
    </row>
    <row r="256">
      <c r="A256" s="2" t="inlineStr">
        <is>
          <t xml:space="preserve">2026-11-25-04</t>
        </is>
      </c>
      <c r="B256" s="4">
        <v>46351</v>
      </c>
      <c r="C256" s="3" t="inlineStr">
        <is>
          <t xml:space="preserve">Çarşamba</t>
        </is>
      </c>
      <c r="D256" s="3" t="inlineStr">
        <is>
          <t xml:space="preserve">BIO110</t>
        </is>
      </c>
      <c r="E256" s="3" t="inlineStr">
        <is>
          <t xml:space="preserve">Ext</t>
        </is>
      </c>
      <c r="F256" s="3" t="inlineStr">
        <is>
          <t xml:space="preserve">P2</t>
        </is>
      </c>
      <c r="G256" s="6">
        <v>8</v>
      </c>
      <c r="H256" s="2" t="inlineStr">
        <is>
          <t xml:space="preserve">Tekrar (kapalı kitap aktif hatırlama, konu başına ~8 dk): Regulation of Gene Expression (D+7)</t>
        </is>
      </c>
      <c r="I256" s="2"/>
      <c r="J256" s="7" t="inlineStr">
        <is>
          <t xml:space="preserve">Not Started</t>
        </is>
      </c>
      <c r="K256" s="7"/>
      <c r="L256" s="3"/>
    </row>
    <row r="257">
      <c r="A257" s="2" t="inlineStr">
        <is>
          <t xml:space="preserve">2026-11-25-05</t>
        </is>
      </c>
      <c r="B257" s="4">
        <v>46351</v>
      </c>
      <c r="C257" s="3" t="inlineStr">
        <is>
          <t xml:space="preserve">Çarşamba</t>
        </is>
      </c>
      <c r="D257" s="3" t="inlineStr">
        <is>
          <t xml:space="preserve">CMPE327</t>
        </is>
      </c>
      <c r="E257" s="3" t="inlineStr">
        <is>
          <t xml:space="preserve">Ext</t>
        </is>
      </c>
      <c r="F257" s="3" t="inlineStr">
        <is>
          <t xml:space="preserve">P3</t>
        </is>
      </c>
      <c r="G257" s="6">
        <v>8</v>
      </c>
      <c r="H257" s="2" t="inlineStr">
        <is>
          <t xml:space="preserve">Tekrar (kapalı kitap aktif hatırlama, konu başına ~8 dk): Context-free grammars (D+14)</t>
        </is>
      </c>
      <c r="I257" s="2"/>
      <c r="J257" s="7" t="inlineStr">
        <is>
          <t xml:space="preserve">Not Started</t>
        </is>
      </c>
      <c r="K257" s="7"/>
      <c r="L257" s="3"/>
    </row>
    <row r="258">
      <c r="A258" s="2" t="inlineStr">
        <is>
          <t xml:space="preserve">2026-11-25-06</t>
        </is>
      </c>
      <c r="B258" s="4">
        <v>46351</v>
      </c>
      <c r="C258" s="3" t="inlineStr">
        <is>
          <t xml:space="preserve">Çarşamba</t>
        </is>
      </c>
      <c r="D258" s="3" t="inlineStr">
        <is>
          <t xml:space="preserve">CMPE421</t>
        </is>
      </c>
      <c r="E258" s="3" t="inlineStr">
        <is>
          <t xml:space="preserve">Ext</t>
        </is>
      </c>
      <c r="F258" s="3" t="inlineStr">
        <is>
          <t xml:space="preserve">P3</t>
        </is>
      </c>
      <c r="G258" s="6">
        <v>8</v>
      </c>
      <c r="H258" s="2" t="inlineStr">
        <is>
          <t xml:space="preserve">Tekrar (kapalı kitap aktif hatırlama, konu başına ~8 dk): Knowledge representation (D+14)</t>
        </is>
      </c>
      <c r="I258" s="2"/>
      <c r="J258" s="7" t="inlineStr">
        <is>
          <t xml:space="preserve">Not Started</t>
        </is>
      </c>
      <c r="K258" s="7"/>
      <c r="L258" s="3"/>
    </row>
    <row r="259">
      <c r="A259" s="2" t="inlineStr">
        <is>
          <t xml:space="preserve">2026-11-26-01</t>
        </is>
      </c>
      <c r="B259" s="4">
        <v>46352</v>
      </c>
      <c r="C259" s="3" t="inlineStr">
        <is>
          <t xml:space="preserve">Perşembe</t>
        </is>
      </c>
      <c r="D259" s="3" t="inlineStr">
        <is>
          <t xml:space="preserve">BIO110</t>
        </is>
      </c>
      <c r="E259" s="3" t="inlineStr">
        <is>
          <t xml:space="preserve">Min</t>
        </is>
      </c>
      <c r="F259" s="3" t="inlineStr">
        <is>
          <t xml:space="preserve">P1</t>
        </is>
      </c>
      <c r="G259" s="6">
        <v>45</v>
      </c>
      <c r="H259" s="2" t="inlineStr">
        <is>
          <t xml:space="preserve">Midterm 2 son gün — yalnızca kısa not/şema. ▸ yeni konu yok</t>
        </is>
      </c>
      <c r="I259" s="2" t="inlineStr">
        <is>
          <t xml:space="preserve">Campbell Biology (ilgili bölüm; baskıya göre numara değişir) + hoca slaytı — Materyal bekleniyor</t>
        </is>
      </c>
      <c r="J259" s="7" t="inlineStr">
        <is>
          <t xml:space="preserve">Not Started</t>
        </is>
      </c>
      <c r="K259" s="7"/>
      <c r="L259" s="3"/>
    </row>
    <row r="260">
      <c r="A260" s="2" t="inlineStr">
        <is>
          <t xml:space="preserve">2026-11-26-02</t>
        </is>
      </c>
      <c r="B260" s="4">
        <v>46352</v>
      </c>
      <c r="C260" s="3" t="inlineStr">
        <is>
          <t xml:space="preserve">Perşembe</t>
        </is>
      </c>
      <c r="D260" s="3" t="inlineStr">
        <is>
          <t xml:space="preserve">CMPE371</t>
        </is>
      </c>
      <c r="E260" s="3" t="inlineStr">
        <is>
          <t xml:space="preserve">Min</t>
        </is>
      </c>
      <c r="F260" s="3" t="inlineStr">
        <is>
          <t xml:space="preserve">P2</t>
        </is>
      </c>
      <c r="G260" s="6">
        <v>30</v>
      </c>
      <c r="H260" s="2" t="inlineStr">
        <is>
          <t xml:space="preserve">Vize son gün hafif tekrar — formül/dönüşüm özet sayfası. ▸ 10 hızlı soru, yeni konu yok</t>
        </is>
      </c>
      <c r="I260" s="2" t="inlineStr">
        <is>
          <t xml:space="preserve">Hoca slaytı + ders kitabı (syllabus'ta belirtilmemiş: Materyal bekleniyor) — Materyal bekleniyor</t>
        </is>
      </c>
      <c r="J260" s="7" t="inlineStr">
        <is>
          <t xml:space="preserve">Not Started</t>
        </is>
      </c>
      <c r="K260" s="7"/>
      <c r="L260" s="3"/>
    </row>
    <row r="261">
      <c r="A261" s="2" t="inlineStr">
        <is>
          <t xml:space="preserve">2026-11-26-03</t>
        </is>
      </c>
      <c r="B261" s="4">
        <v>46352</v>
      </c>
      <c r="C261" s="3" t="inlineStr">
        <is>
          <t xml:space="preserve">Perşembe</t>
        </is>
      </c>
      <c r="D261" s="3" t="inlineStr">
        <is>
          <t xml:space="preserve">BIO110</t>
        </is>
      </c>
      <c r="E261" s="3" t="inlineStr">
        <is>
          <t xml:space="preserve">Ext</t>
        </is>
      </c>
      <c r="F261" s="3" t="inlineStr">
        <is>
          <t xml:space="preserve">P2</t>
        </is>
      </c>
      <c r="G261" s="6">
        <v>8</v>
      </c>
      <c r="H261" s="2" t="inlineStr">
        <is>
          <t xml:space="preserve">Tekrar (kapalı kitap aktif hatırlama, konu başına ~8 dk): DNA Tools and Biotechnology (D+7)</t>
        </is>
      </c>
      <c r="I261" s="2"/>
      <c r="J261" s="7" t="inlineStr">
        <is>
          <t xml:space="preserve">Not Started</t>
        </is>
      </c>
      <c r="K261" s="7"/>
      <c r="L261" s="3"/>
    </row>
    <row r="262">
      <c r="A262" s="2" t="inlineStr">
        <is>
          <t xml:space="preserve">2026-11-26-04</t>
        </is>
      </c>
      <c r="B262" s="4">
        <v>46352</v>
      </c>
      <c r="C262" s="3" t="inlineStr">
        <is>
          <t xml:space="preserve">Perşembe</t>
        </is>
      </c>
      <c r="D262" s="3" t="inlineStr">
        <is>
          <t xml:space="preserve">CMPE327</t>
        </is>
      </c>
      <c r="E262" s="3" t="inlineStr">
        <is>
          <t xml:space="preserve">Ext</t>
        </is>
      </c>
      <c r="F262" s="3" t="inlineStr">
        <is>
          <t xml:space="preserve">P3</t>
        </is>
      </c>
      <c r="G262" s="6">
        <v>8</v>
      </c>
      <c r="H262" s="2" t="inlineStr">
        <is>
          <t xml:space="preserve">Tekrar (kapalı kitap aktif hatırlama, konu başına ~8 dk): Ambiguity + DFA eşdeğerlik kontrolü (D+14)</t>
        </is>
      </c>
      <c r="I262" s="2"/>
      <c r="J262" s="7" t="inlineStr">
        <is>
          <t xml:space="preserve">Not Started</t>
        </is>
      </c>
      <c r="K262" s="7"/>
      <c r="L262" s="3"/>
    </row>
    <row r="263">
      <c r="A263" s="2" t="inlineStr">
        <is>
          <t xml:space="preserve">2026-11-26-05</t>
        </is>
      </c>
      <c r="B263" s="4">
        <v>46352</v>
      </c>
      <c r="C263" s="3" t="inlineStr">
        <is>
          <t xml:space="preserve">Perşembe</t>
        </is>
      </c>
      <c r="D263" s="3" t="inlineStr">
        <is>
          <t xml:space="preserve">CMPE421</t>
        </is>
      </c>
      <c r="E263" s="3" t="inlineStr">
        <is>
          <t xml:space="preserve">Ext</t>
        </is>
      </c>
      <c r="F263" s="3" t="inlineStr">
        <is>
          <t xml:space="preserve">P3</t>
        </is>
      </c>
      <c r="G263" s="6">
        <v>8</v>
      </c>
      <c r="H263" s="2" t="inlineStr">
        <is>
          <t xml:space="preserve">Tekrar (kapalı kitap aktif hatırlama, konu başına ~8 dk): Theorem proving (D+14)</t>
        </is>
      </c>
      <c r="I263" s="2"/>
      <c r="J263" s="7" t="inlineStr">
        <is>
          <t xml:space="preserve">Not Started</t>
        </is>
      </c>
      <c r="K263" s="7"/>
      <c r="L263" s="3"/>
    </row>
    <row r="264">
      <c r="A264" s="2" t="inlineStr">
        <is>
          <t xml:space="preserve">2026-11-27-01</t>
        </is>
      </c>
      <c r="B264" s="4">
        <v>46353</v>
      </c>
      <c r="C264" s="3" t="inlineStr">
        <is>
          <t xml:space="preserve">Cuma</t>
        </is>
      </c>
      <c r="D264" s="3" t="inlineStr">
        <is>
          <t xml:space="preserve">GENEL</t>
        </is>
      </c>
      <c r="E264" s="3" t="inlineStr">
        <is>
          <t xml:space="preserve">Min</t>
        </is>
      </c>
      <c r="F264" s="3" t="inlineStr">
        <is>
          <t xml:space="preserve">P1</t>
        </is>
      </c>
      <c r="G264" s="6">
        <v>30</v>
      </c>
      <c r="H264" s="2" t="inlineStr">
        <is>
          <t xml:space="preserve">Sınav sonrası analiz — Biten sınavların yanlış/eksik konularını Mistake Log'a işle. ▸ Zayıf konular için Revision Schedule'a ek tekrar yaz</t>
        </is>
      </c>
      <c r="I264" s="2"/>
      <c r="J264" s="7" t="inlineStr">
        <is>
          <t xml:space="preserve">Not Started</t>
        </is>
      </c>
      <c r="K264" s="7"/>
      <c r="L264" s="3"/>
    </row>
    <row r="265">
      <c r="A265" s="2" t="inlineStr">
        <is>
          <t xml:space="preserve">2026-11-27-02</t>
        </is>
      </c>
      <c r="B265" s="4">
        <v>46353</v>
      </c>
      <c r="C265" s="3" t="inlineStr">
        <is>
          <t xml:space="preserve">Cuma</t>
        </is>
      </c>
      <c r="D265" s="3" t="inlineStr">
        <is>
          <t xml:space="preserve">CMPE499</t>
        </is>
      </c>
      <c r="E265" s="3" t="inlineStr">
        <is>
          <t xml:space="preserve">Min</t>
        </is>
      </c>
      <c r="F265" s="3" t="inlineStr">
        <is>
          <t xml:space="preserve">P1</t>
        </is>
      </c>
      <c r="G265" s="6">
        <v>60</v>
      </c>
      <c r="H265" s="2" t="inlineStr">
        <is>
          <t xml:space="preserve">Sunum (%30) formatını doğrula + hazırla — sunum/video ayrı mı? tarih ve format. ▸ Gerekirse 10 dk'lık sunum iskeleti</t>
        </is>
      </c>
      <c r="I265" s="2"/>
      <c r="J265" s="7" t="inlineStr">
        <is>
          <t xml:space="preserve">Not Started</t>
        </is>
      </c>
      <c r="K265" s="7"/>
      <c r="L265" s="3" t="inlineStr">
        <is>
          <t xml:space="preserve">★</t>
        </is>
      </c>
    </row>
    <row r="266">
      <c r="A266" s="2" t="inlineStr">
        <is>
          <t xml:space="preserve">2026-11-27-03</t>
        </is>
      </c>
      <c r="B266" s="4">
        <v>46353</v>
      </c>
      <c r="C266" s="3" t="inlineStr">
        <is>
          <t xml:space="preserve">Cuma</t>
        </is>
      </c>
      <c r="D266" s="3" t="inlineStr">
        <is>
          <t xml:space="preserve">BIO110</t>
        </is>
      </c>
      <c r="E266" s="3" t="inlineStr">
        <is>
          <t xml:space="preserve">Min</t>
        </is>
      </c>
      <c r="F266" s="3" t="inlineStr">
        <is>
          <t xml:space="preserve">P3</t>
        </is>
      </c>
      <c r="G266" s="6">
        <v>20</v>
      </c>
      <c r="H266" s="2" t="inlineStr">
        <is>
          <t xml:space="preserve">Proje: konu seçimi — hoca listesinden konu (Brain-Inspired AI, Embodied AI, Biorobotics, Synthetic Biology, Quantum Biology, Industrial Biotech, Biomimetics…). ▸ Konuyu seç, hocaya/duyuruya göre doğrula</t>
        </is>
      </c>
      <c r="I266" s="2"/>
      <c r="J266" s="7" t="inlineStr">
        <is>
          <t xml:space="preserve">Not Started</t>
        </is>
      </c>
      <c r="K266" s="7"/>
      <c r="L266" s="3" t="inlineStr">
        <is>
          <t xml:space="preserve">★</t>
        </is>
      </c>
    </row>
    <row r="267">
      <c r="A267" s="2" t="inlineStr">
        <is>
          <t xml:space="preserve">2026-11-27-04</t>
        </is>
      </c>
      <c r="B267" s="4">
        <v>46353</v>
      </c>
      <c r="C267" s="3" t="inlineStr">
        <is>
          <t xml:space="preserve">Cuma</t>
        </is>
      </c>
      <c r="D267" s="3" t="inlineStr">
        <is>
          <t xml:space="preserve">CMPE453</t>
        </is>
      </c>
      <c r="E267" s="3" t="inlineStr">
        <is>
          <t xml:space="preserve">Min</t>
        </is>
      </c>
      <c r="F267" s="3" t="inlineStr">
        <is>
          <t xml:space="preserve">P2</t>
        </is>
      </c>
      <c r="G267" s="6">
        <v>80</v>
      </c>
      <c r="H267" s="2" t="inlineStr">
        <is>
          <t xml:space="preserve">PWM (AVR) — Fast/Phase-correct PWM, OCRx, duty hesabı. ▸ 6 duty/frekans hesabı</t>
        </is>
      </c>
      <c r="I267" s="2" t="inlineStr">
        <is>
          <t xml:space="preserve">Elliot (syllabus: Ch.1–10) + STM32 Manual + hoca slaytı — Materyal bekleniyor</t>
        </is>
      </c>
      <c r="J267" s="7" t="inlineStr">
        <is>
          <t xml:space="preserve">Not Started</t>
        </is>
      </c>
      <c r="K267" s="7"/>
      <c r="L267" s="3"/>
    </row>
    <row r="268">
      <c r="A268" s="2" t="inlineStr">
        <is>
          <t xml:space="preserve">2026-11-27-05</t>
        </is>
      </c>
      <c r="B268" s="4">
        <v>46353</v>
      </c>
      <c r="C268" s="3" t="inlineStr">
        <is>
          <t xml:space="preserve">Cuma</t>
        </is>
      </c>
      <c r="D268" s="3" t="inlineStr">
        <is>
          <t xml:space="preserve">BIO110</t>
        </is>
      </c>
      <c r="E268" s="3" t="inlineStr">
        <is>
          <t xml:space="preserve">Ext</t>
        </is>
      </c>
      <c r="F268" s="3" t="inlineStr">
        <is>
          <t xml:space="preserve">P3</t>
        </is>
      </c>
      <c r="G268" s="6">
        <v>8</v>
      </c>
      <c r="H268" s="2" t="inlineStr">
        <is>
          <t xml:space="preserve">Tekrar (kapalı kitap aktif hatırlama, konu başına ~8 dk): The Cell Cycle and Cellular Reproduction (D+14)</t>
        </is>
      </c>
      <c r="I268" s="2"/>
      <c r="J268" s="7" t="inlineStr">
        <is>
          <t xml:space="preserve">Not Started</t>
        </is>
      </c>
      <c r="K268" s="7"/>
      <c r="L268" s="3"/>
    </row>
    <row r="269">
      <c r="A269" s="2" t="inlineStr">
        <is>
          <t xml:space="preserve">2026-11-28-01</t>
        </is>
      </c>
      <c r="B269" s="4">
        <v>46354</v>
      </c>
      <c r="C269" s="3" t="inlineStr">
        <is>
          <t xml:space="preserve">Cumartesi</t>
        </is>
      </c>
      <c r="D269" s="3" t="inlineStr">
        <is>
          <t xml:space="preserve">CMPE327</t>
        </is>
      </c>
      <c r="E269" s="3" t="inlineStr">
        <is>
          <t xml:space="preserve">Min</t>
        </is>
      </c>
      <c r="F269" s="3" t="inlineStr">
        <is>
          <t xml:space="preserve">P3</t>
        </is>
      </c>
      <c r="G269" s="6">
        <v>70</v>
      </c>
      <c r="H269" s="2" t="inlineStr">
        <is>
          <t xml:space="preserve">Chomsky Normal Form — ε/birim/yararsız kural eleme, CNF dönüşümü. ▸ 5 CNF dönüştürme</t>
        </is>
      </c>
      <c r="I269" s="2" t="inlineStr">
        <is>
          <t xml:space="preserve">Hoca slaytı + ders kitabı (syllabus'ta belirtilmemiş: Materyal bekleniyor) — Materyal bekleniyor</t>
        </is>
      </c>
      <c r="J269" s="7" t="inlineStr">
        <is>
          <t xml:space="preserve">Not Started</t>
        </is>
      </c>
      <c r="K269" s="7"/>
      <c r="L269" s="3"/>
    </row>
    <row r="270">
      <c r="A270" s="2" t="inlineStr">
        <is>
          <t xml:space="preserve">2026-11-28-02</t>
        </is>
      </c>
      <c r="B270" s="4">
        <v>46354</v>
      </c>
      <c r="C270" s="3" t="inlineStr">
        <is>
          <t xml:space="preserve">Cumartesi</t>
        </is>
      </c>
      <c r="D270" s="3" t="inlineStr">
        <is>
          <t xml:space="preserve">CMPE371</t>
        </is>
      </c>
      <c r="E270" s="3" t="inlineStr">
        <is>
          <t xml:space="preserve">Min</t>
        </is>
      </c>
      <c r="F270" s="3" t="inlineStr">
        <is>
          <t xml:space="preserve">P2</t>
        </is>
      </c>
      <c r="G270" s="6">
        <v>80</v>
      </c>
      <c r="H270" s="2" t="inlineStr">
        <is>
          <t xml:space="preserve">DTFS — ayrık periyodik sinyaller, katsayılar, CTFS ile karşılaştırma. ▸ 5 katsayı hesabı + 3 yorum</t>
        </is>
      </c>
      <c r="I270" s="2" t="inlineStr">
        <is>
          <t xml:space="preserve">Hoca slaytı + ders kitabı (syllabus'ta belirtilmemiş: Materyal bekleniyor) — Materyal bekleniyor</t>
        </is>
      </c>
      <c r="J270" s="7" t="inlineStr">
        <is>
          <t xml:space="preserve">Not Started</t>
        </is>
      </c>
      <c r="K270" s="7"/>
      <c r="L270" s="3"/>
    </row>
    <row r="271">
      <c r="A271" s="2" t="inlineStr">
        <is>
          <t xml:space="preserve">2026-11-28-03</t>
        </is>
      </c>
      <c r="B271" s="4">
        <v>46354</v>
      </c>
      <c r="C271" s="3" t="inlineStr">
        <is>
          <t xml:space="preserve">Cumartesi</t>
        </is>
      </c>
      <c r="D271" s="3" t="inlineStr">
        <is>
          <t xml:space="preserve">CMPE453</t>
        </is>
      </c>
      <c r="E271" s="3" t="inlineStr">
        <is>
          <t xml:space="preserve">Min</t>
        </is>
      </c>
      <c r="F271" s="3" t="inlineStr">
        <is>
          <t xml:space="preserve">P3</t>
        </is>
      </c>
      <c r="G271" s="6">
        <v>8</v>
      </c>
      <c r="H271" s="2" t="inlineStr">
        <is>
          <t xml:space="preserve">Tekrar (kapalı kitap aktif hatırlama, konu başına ~8 dk): PWM (AVR) (D+1)</t>
        </is>
      </c>
      <c r="I271" s="2"/>
      <c r="J271" s="7" t="inlineStr">
        <is>
          <t xml:space="preserve">Not Started</t>
        </is>
      </c>
      <c r="K271" s="7"/>
      <c r="L271" s="3"/>
    </row>
    <row r="272">
      <c r="A272" s="2" t="inlineStr">
        <is>
          <t xml:space="preserve">2026-11-28-04</t>
        </is>
      </c>
      <c r="B272" s="4">
        <v>46354</v>
      </c>
      <c r="C272" s="3" t="inlineStr">
        <is>
          <t xml:space="preserve">Cumartesi</t>
        </is>
      </c>
      <c r="D272" s="3" t="inlineStr">
        <is>
          <t xml:space="preserve">BIO110</t>
        </is>
      </c>
      <c r="E272" s="3" t="inlineStr">
        <is>
          <t xml:space="preserve">Ext</t>
        </is>
      </c>
      <c r="F272" s="3" t="inlineStr">
        <is>
          <t xml:space="preserve">P3</t>
        </is>
      </c>
      <c r="G272" s="6">
        <v>8</v>
      </c>
      <c r="H272" s="2" t="inlineStr">
        <is>
          <t xml:space="preserve">Tekrar (kapalı kitap aktif hatırlama, konu başına ~8 dk): Mendel and the Gene Idea (D+14)</t>
        </is>
      </c>
      <c r="I272" s="2"/>
      <c r="J272" s="7" t="inlineStr">
        <is>
          <t xml:space="preserve">Not Started</t>
        </is>
      </c>
      <c r="K272" s="7"/>
      <c r="L272" s="3"/>
    </row>
    <row r="273">
      <c r="A273" s="2" t="inlineStr">
        <is>
          <t xml:space="preserve">2026-11-28-05</t>
        </is>
      </c>
      <c r="B273" s="4">
        <v>46354</v>
      </c>
      <c r="C273" s="3" t="inlineStr">
        <is>
          <t xml:space="preserve">Cumartesi</t>
        </is>
      </c>
      <c r="D273" s="3" t="inlineStr">
        <is>
          <t xml:space="preserve">CMPE421</t>
        </is>
      </c>
      <c r="E273" s="3" t="inlineStr">
        <is>
          <t xml:space="preserve">Ext</t>
        </is>
      </c>
      <c r="F273" s="3" t="inlineStr">
        <is>
          <t xml:space="preserve">P3</t>
        </is>
      </c>
      <c r="G273" s="6">
        <v>8</v>
      </c>
      <c r="H273" s="2" t="inlineStr">
        <is>
          <t xml:space="preserve">Tekrar (kapalı kitap aktif hatırlama, konu başına ~8 dk): Uncertainty (D+14)</t>
        </is>
      </c>
      <c r="I273" s="2"/>
      <c r="J273" s="7" t="inlineStr">
        <is>
          <t xml:space="preserve">Not Started</t>
        </is>
      </c>
      <c r="K273" s="7"/>
      <c r="L273" s="3"/>
    </row>
    <row r="274">
      <c r="A274" s="2" t="inlineStr">
        <is>
          <t xml:space="preserve">2026-11-29-01</t>
        </is>
      </c>
      <c r="B274" s="4">
        <v>46355</v>
      </c>
      <c r="C274" s="3" t="inlineStr">
        <is>
          <t xml:space="preserve">Pazar</t>
        </is>
      </c>
      <c r="D274" s="3" t="inlineStr">
        <is>
          <t xml:space="preserve">CMPE421</t>
        </is>
      </c>
      <c r="E274" s="3" t="inlineStr">
        <is>
          <t xml:space="preserve">Min</t>
        </is>
      </c>
      <c r="F274" s="3" t="inlineStr">
        <is>
          <t xml:space="preserve">P3</t>
        </is>
      </c>
      <c r="G274" s="6">
        <v>70</v>
      </c>
      <c r="H274" s="2" t="inlineStr">
        <is>
          <t xml:space="preserve">ML fundamentals — denetimli/denetimsiz, overfitting, bias-variance, değerlendirme. ▸ 10 kavram + 3 metrik hesabı</t>
        </is>
      </c>
      <c r="I274" s="2" t="inlineStr">
        <is>
          <t xml:space="preserve">Hoca slaytı (syllabus kitap belirtmiyor: Materyal bekleniyor) — Materyal bekleniyor</t>
        </is>
      </c>
      <c r="J274" s="7" t="inlineStr">
        <is>
          <t xml:space="preserve">Not Started</t>
        </is>
      </c>
      <c r="K274" s="7"/>
      <c r="L274" s="3"/>
    </row>
    <row r="275">
      <c r="A275" s="2" t="inlineStr">
        <is>
          <t xml:space="preserve">2026-11-29-02</t>
        </is>
      </c>
      <c r="B275" s="4">
        <v>46355</v>
      </c>
      <c r="C275" s="3" t="inlineStr">
        <is>
          <t xml:space="preserve">Pazar</t>
        </is>
      </c>
      <c r="D275" s="3" t="inlineStr">
        <is>
          <t xml:space="preserve">CMPE327</t>
        </is>
      </c>
      <c r="E275" s="3" t="inlineStr">
        <is>
          <t xml:space="preserve">Min</t>
        </is>
      </c>
      <c r="F275" s="3" t="inlineStr">
        <is>
          <t xml:space="preserve">P3</t>
        </is>
      </c>
      <c r="G275" s="6">
        <v>70</v>
      </c>
      <c r="H275" s="2" t="inlineStr">
        <is>
          <t xml:space="preserve">CYK algoritması — CYK tablosu, üyelik testi. ▸ 6 CYK tablosu</t>
        </is>
      </c>
      <c r="I275" s="2" t="inlineStr">
        <is>
          <t xml:space="preserve">Hoca slaytı + ders kitabı (syllabus'ta belirtilmemiş: Materyal bekleniyor) — Materyal bekleniyor</t>
        </is>
      </c>
      <c r="J275" s="7" t="inlineStr">
        <is>
          <t xml:space="preserve">Not Started</t>
        </is>
      </c>
      <c r="K275" s="7"/>
      <c r="L275" s="3"/>
    </row>
    <row r="276">
      <c r="A276" s="2" t="inlineStr">
        <is>
          <t xml:space="preserve">2026-11-29-03</t>
        </is>
      </c>
      <c r="B276" s="4">
        <v>46355</v>
      </c>
      <c r="C276" s="3" t="inlineStr">
        <is>
          <t xml:space="preserve">Pazar</t>
        </is>
      </c>
      <c r="D276" s="3" t="inlineStr">
        <is>
          <t xml:space="preserve">BIO110</t>
        </is>
      </c>
      <c r="E276" s="3" t="inlineStr">
        <is>
          <t xml:space="preserve">Min</t>
        </is>
      </c>
      <c r="F276" s="3" t="inlineStr">
        <is>
          <t xml:space="preserve">P3</t>
        </is>
      </c>
      <c r="G276" s="6">
        <v>60</v>
      </c>
      <c r="H276" s="2" t="inlineStr">
        <is>
          <t xml:space="preserve">Descent with Modification — doğal seçilim, Darwin, adaptasyon, kanıtlar, filogeni temelleri. ▸ Kavram kartları + 12 soru</t>
        </is>
      </c>
      <c r="I276" s="2" t="inlineStr">
        <is>
          <t xml:space="preserve">Campbell Biology (ilgili bölüm; baskıya göre numara değişir) + hoca slaytı — Materyal bekleniyor</t>
        </is>
      </c>
      <c r="J276" s="7" t="inlineStr">
        <is>
          <t xml:space="preserve">Not Started</t>
        </is>
      </c>
      <c r="K276" s="7"/>
      <c r="L276" s="3"/>
    </row>
    <row r="277">
      <c r="A277" s="2" t="inlineStr">
        <is>
          <t xml:space="preserve">2026-11-29-04</t>
        </is>
      </c>
      <c r="B277" s="4">
        <v>46355</v>
      </c>
      <c r="C277" s="3" t="inlineStr">
        <is>
          <t xml:space="preserve">Pazar</t>
        </is>
      </c>
      <c r="D277" s="3" t="inlineStr">
        <is>
          <t xml:space="preserve">CMPE371</t>
        </is>
      </c>
      <c r="E277" s="3" t="inlineStr">
        <is>
          <t xml:space="preserve">Min</t>
        </is>
      </c>
      <c r="F277" s="3" t="inlineStr">
        <is>
          <t xml:space="preserve">P2</t>
        </is>
      </c>
      <c r="G277" s="6">
        <v>90</v>
      </c>
      <c r="H277" s="2" t="inlineStr">
        <is>
          <t xml:space="preserve">DTFT — tanım, çiftler, özellikler, LTI frekans yanıtı. ▸ 6 dönüşüm + 4 özellik sorusu</t>
        </is>
      </c>
      <c r="I277" s="2" t="inlineStr">
        <is>
          <t xml:space="preserve">Hoca slaytı + ders kitabı (syllabus'ta belirtilmemiş: Materyal bekleniyor) — Materyal bekleniyor</t>
        </is>
      </c>
      <c r="J277" s="7" t="inlineStr">
        <is>
          <t xml:space="preserve">Not Started</t>
        </is>
      </c>
      <c r="K277" s="7"/>
      <c r="L277" s="3"/>
    </row>
    <row r="278">
      <c r="A278" s="2" t="inlineStr">
        <is>
          <t xml:space="preserve">2026-11-29-05</t>
        </is>
      </c>
      <c r="B278" s="4">
        <v>46355</v>
      </c>
      <c r="C278" s="3" t="inlineStr">
        <is>
          <t xml:space="preserve">Pazar</t>
        </is>
      </c>
      <c r="D278" s="3" t="inlineStr">
        <is>
          <t xml:space="preserve">CMPE327</t>
        </is>
      </c>
      <c r="E278" s="3" t="inlineStr">
        <is>
          <t xml:space="preserve">Min</t>
        </is>
      </c>
      <c r="F278" s="3" t="inlineStr">
        <is>
          <t xml:space="preserve">P3</t>
        </is>
      </c>
      <c r="G278" s="6">
        <v>8</v>
      </c>
      <c r="H278" s="2" t="inlineStr">
        <is>
          <t xml:space="preserve">Tekrar (kapalı kitap aktif hatırlama, konu başına ~8 dk): Chomsky Normal Form (D+1)</t>
        </is>
      </c>
      <c r="I278" s="2"/>
      <c r="J278" s="7" t="inlineStr">
        <is>
          <t xml:space="preserve">Not Started</t>
        </is>
      </c>
      <c r="K278" s="7"/>
      <c r="L278" s="3"/>
    </row>
    <row r="279">
      <c r="A279" s="2" t="inlineStr">
        <is>
          <t xml:space="preserve">2026-11-29-06</t>
        </is>
      </c>
      <c r="B279" s="4">
        <v>46355</v>
      </c>
      <c r="C279" s="3" t="inlineStr">
        <is>
          <t xml:space="preserve">Pazar</t>
        </is>
      </c>
      <c r="D279" s="3" t="inlineStr">
        <is>
          <t xml:space="preserve">CMPE371</t>
        </is>
      </c>
      <c r="E279" s="3" t="inlineStr">
        <is>
          <t xml:space="preserve">Min</t>
        </is>
      </c>
      <c r="F279" s="3" t="inlineStr">
        <is>
          <t xml:space="preserve">P3</t>
        </is>
      </c>
      <c r="G279" s="6">
        <v>8</v>
      </c>
      <c r="H279" s="2" t="inlineStr">
        <is>
          <t xml:space="preserve">Tekrar (kapalı kitap aktif hatırlama, konu başına ~8 dk): DTFS (D+1)</t>
        </is>
      </c>
      <c r="I279" s="2"/>
      <c r="J279" s="7" t="inlineStr">
        <is>
          <t xml:space="preserve">Not Started</t>
        </is>
      </c>
      <c r="K279" s="7"/>
      <c r="L279" s="3"/>
    </row>
    <row r="280">
      <c r="A280" s="2" t="inlineStr">
        <is>
          <t xml:space="preserve">2026-11-29-07</t>
        </is>
      </c>
      <c r="B280" s="4">
        <v>46355</v>
      </c>
      <c r="C280" s="3" t="inlineStr">
        <is>
          <t xml:space="preserve">Pazar</t>
        </is>
      </c>
      <c r="D280" s="3" t="inlineStr">
        <is>
          <t xml:space="preserve">BIO110</t>
        </is>
      </c>
      <c r="E280" s="3" t="inlineStr">
        <is>
          <t xml:space="preserve">Ext</t>
        </is>
      </c>
      <c r="F280" s="3" t="inlineStr">
        <is>
          <t xml:space="preserve">P3</t>
        </is>
      </c>
      <c r="G280" s="6">
        <v>8</v>
      </c>
      <c r="H280" s="2" t="inlineStr">
        <is>
          <t xml:space="preserve">Tekrar (kapalı kitap aktif hatırlama, konu başına ~8 dk): Chromosomal Basis of Inheritance (D+14)</t>
        </is>
      </c>
      <c r="I280" s="2"/>
      <c r="J280" s="7" t="inlineStr">
        <is>
          <t xml:space="preserve">Not Started</t>
        </is>
      </c>
      <c r="K280" s="7"/>
      <c r="L280" s="3"/>
    </row>
    <row r="281">
      <c r="A281" s="2" t="inlineStr">
        <is>
          <t xml:space="preserve">2026-11-29-08</t>
        </is>
      </c>
      <c r="B281" s="4">
        <v>46355</v>
      </c>
      <c r="C281" s="3" t="inlineStr">
        <is>
          <t xml:space="preserve">Pazar</t>
        </is>
      </c>
      <c r="D281" s="3" t="inlineStr">
        <is>
          <t xml:space="preserve">CMPE453</t>
        </is>
      </c>
      <c r="E281" s="3" t="inlineStr">
        <is>
          <t xml:space="preserve">Ext</t>
        </is>
      </c>
      <c r="F281" s="3" t="inlineStr">
        <is>
          <t xml:space="preserve">P3</t>
        </is>
      </c>
      <c r="G281" s="6">
        <v>8</v>
      </c>
      <c r="H281" s="2" t="inlineStr">
        <is>
          <t xml:space="preserve">Tekrar (kapalı kitap aktif hatırlama, konu başına ~8 dk): Interrupts (D+14)</t>
        </is>
      </c>
      <c r="I281" s="2"/>
      <c r="J281" s="7" t="inlineStr">
        <is>
          <t xml:space="preserve">Not Started</t>
        </is>
      </c>
      <c r="K281" s="7"/>
      <c r="L281" s="3"/>
    </row>
    <row r="282">
      <c r="A282" s="2" t="inlineStr">
        <is>
          <t xml:space="preserve">2026-11-29-09</t>
        </is>
      </c>
      <c r="B282" s="4">
        <v>46355</v>
      </c>
      <c r="C282" s="3" t="inlineStr">
        <is>
          <t xml:space="preserve">Pazar</t>
        </is>
      </c>
      <c r="D282" s="3" t="inlineStr">
        <is>
          <t xml:space="preserve">CMPE371</t>
        </is>
      </c>
      <c r="E282" s="3" t="inlineStr">
        <is>
          <t xml:space="preserve">Ext</t>
        </is>
      </c>
      <c r="F282" s="3" t="inlineStr">
        <is>
          <t xml:space="preserve">P3</t>
        </is>
      </c>
      <c r="G282" s="6">
        <v>8</v>
      </c>
      <c r="H282" s="2" t="inlineStr">
        <is>
          <t xml:space="preserve">Tekrar (kapalı kitap aktif hatırlama, konu başına ~8 dk): CTFT (D+14)</t>
        </is>
      </c>
      <c r="I282" s="2"/>
      <c r="J282" s="7" t="inlineStr">
        <is>
          <t xml:space="preserve">Not Started</t>
        </is>
      </c>
      <c r="K282" s="7"/>
      <c r="L282" s="3"/>
    </row>
    <row r="283">
      <c r="A283" s="2" t="inlineStr">
        <is>
          <t xml:space="preserve">2026-11-30-01</t>
        </is>
      </c>
      <c r="B283" s="4">
        <v>46356</v>
      </c>
      <c r="C283" s="3" t="inlineStr">
        <is>
          <t xml:space="preserve">Pazartesi</t>
        </is>
      </c>
      <c r="D283" s="3" t="inlineStr">
        <is>
          <t xml:space="preserve">BIO110</t>
        </is>
      </c>
      <c r="E283" s="3" t="inlineStr">
        <is>
          <t xml:space="preserve">Min</t>
        </is>
      </c>
      <c r="F283" s="3" t="inlineStr">
        <is>
          <t xml:space="preserve">P3</t>
        </is>
      </c>
      <c r="G283" s="6">
        <v>40</v>
      </c>
      <c r="H283" s="2" t="inlineStr">
        <is>
          <t xml:space="preserve">Proje: 15–20 slayt iskeleti — slayt başlıkları, kaynak listesi. ▸ İskeleti yaz, 5 ana kaynak bul</t>
        </is>
      </c>
      <c r="I283" s="2"/>
      <c r="J283" s="7" t="inlineStr">
        <is>
          <t xml:space="preserve">Not Started</t>
        </is>
      </c>
      <c r="K283" s="7"/>
      <c r="L283" s="3" t="inlineStr">
        <is>
          <t xml:space="preserve">★</t>
        </is>
      </c>
    </row>
    <row r="284">
      <c r="A284" s="2" t="inlineStr">
        <is>
          <t xml:space="preserve">2026-11-30-02</t>
        </is>
      </c>
      <c r="B284" s="4">
        <v>46356</v>
      </c>
      <c r="C284" s="3" t="inlineStr">
        <is>
          <t xml:space="preserve">Pazartesi</t>
        </is>
      </c>
      <c r="D284" s="3" t="inlineStr">
        <is>
          <t xml:space="preserve">CMPE421</t>
        </is>
      </c>
      <c r="E284" s="3" t="inlineStr">
        <is>
          <t xml:space="preserve">Min</t>
        </is>
      </c>
      <c r="F284" s="3" t="inlineStr">
        <is>
          <t xml:space="preserve">P3</t>
        </is>
      </c>
      <c r="G284" s="6">
        <v>80</v>
      </c>
      <c r="H284" s="2" t="inlineStr">
        <is>
          <t xml:space="preserve">Classification and regression — kNN, karar ağacı, lineer/lojistik regresyon, metrikler. ▸ 4 elle hesap</t>
        </is>
      </c>
      <c r="I284" s="2" t="inlineStr">
        <is>
          <t xml:space="preserve">Hoca slaytı (syllabus kitap belirtmiyor: Materyal bekleniyor) — Materyal bekleniyor</t>
        </is>
      </c>
      <c r="J284" s="7" t="inlineStr">
        <is>
          <t xml:space="preserve">Not Started</t>
        </is>
      </c>
      <c r="K284" s="7"/>
      <c r="L284" s="3"/>
    </row>
    <row r="285">
      <c r="A285" s="2" t="inlineStr">
        <is>
          <t xml:space="preserve">2026-11-30-03</t>
        </is>
      </c>
      <c r="B285" s="4">
        <v>46356</v>
      </c>
      <c r="C285" s="3" t="inlineStr">
        <is>
          <t xml:space="preserve">Pazartesi</t>
        </is>
      </c>
      <c r="D285" s="3" t="inlineStr">
        <is>
          <t xml:space="preserve">CMPE327</t>
        </is>
      </c>
      <c r="E285" s="3" t="inlineStr">
        <is>
          <t xml:space="preserve">Min</t>
        </is>
      </c>
      <c r="F285" s="3" t="inlineStr">
        <is>
          <t xml:space="preserve">P3</t>
        </is>
      </c>
      <c r="G285" s="6">
        <v>8</v>
      </c>
      <c r="H285" s="2" t="inlineStr">
        <is>
          <t xml:space="preserve">Tekrar (kapalı kitap aktif hatırlama, konu başına ~8 dk): CYK algoritması (D+1)</t>
        </is>
      </c>
      <c r="I285" s="2"/>
      <c r="J285" s="7" t="inlineStr">
        <is>
          <t xml:space="preserve">Not Started</t>
        </is>
      </c>
      <c r="K285" s="7"/>
      <c r="L285" s="3"/>
    </row>
    <row r="286">
      <c r="A286" s="2" t="inlineStr">
        <is>
          <t xml:space="preserve">2026-11-30-04</t>
        </is>
      </c>
      <c r="B286" s="4">
        <v>46356</v>
      </c>
      <c r="C286" s="3" t="inlineStr">
        <is>
          <t xml:space="preserve">Pazartesi</t>
        </is>
      </c>
      <c r="D286" s="3" t="inlineStr">
        <is>
          <t xml:space="preserve">BIO110</t>
        </is>
      </c>
      <c r="E286" s="3" t="inlineStr">
        <is>
          <t xml:space="preserve">Min</t>
        </is>
      </c>
      <c r="F286" s="3" t="inlineStr">
        <is>
          <t xml:space="preserve">P3</t>
        </is>
      </c>
      <c r="G286" s="6">
        <v>8</v>
      </c>
      <c r="H286" s="2" t="inlineStr">
        <is>
          <t xml:space="preserve">Tekrar (kapalı kitap aktif hatırlama, konu başına ~8 dk): Descent with Modification (D+1)</t>
        </is>
      </c>
      <c r="I286" s="2"/>
      <c r="J286" s="7" t="inlineStr">
        <is>
          <t xml:space="preserve">Not Started</t>
        </is>
      </c>
      <c r="K286" s="7"/>
      <c r="L286" s="3"/>
    </row>
    <row r="287">
      <c r="A287" s="2" t="inlineStr">
        <is>
          <t xml:space="preserve">2026-11-30-05</t>
        </is>
      </c>
      <c r="B287" s="4">
        <v>46356</v>
      </c>
      <c r="C287" s="3" t="inlineStr">
        <is>
          <t xml:space="preserve">Pazartesi</t>
        </is>
      </c>
      <c r="D287" s="3" t="inlineStr">
        <is>
          <t xml:space="preserve">CMPE421</t>
        </is>
      </c>
      <c r="E287" s="3" t="inlineStr">
        <is>
          <t xml:space="preserve">Min</t>
        </is>
      </c>
      <c r="F287" s="3" t="inlineStr">
        <is>
          <t xml:space="preserve">P3</t>
        </is>
      </c>
      <c r="G287" s="6">
        <v>8</v>
      </c>
      <c r="H287" s="2" t="inlineStr">
        <is>
          <t xml:space="preserve">Tekrar (kapalı kitap aktif hatırlama, konu başına ~8 dk): ML fundamentals (D+1)</t>
        </is>
      </c>
      <c r="I287" s="2"/>
      <c r="J287" s="7" t="inlineStr">
        <is>
          <t xml:space="preserve">Not Started</t>
        </is>
      </c>
      <c r="K287" s="7"/>
      <c r="L287" s="3"/>
    </row>
    <row r="288">
      <c r="A288" s="2" t="inlineStr">
        <is>
          <t xml:space="preserve">2026-11-30-06</t>
        </is>
      </c>
      <c r="B288" s="4">
        <v>46356</v>
      </c>
      <c r="C288" s="3" t="inlineStr">
        <is>
          <t xml:space="preserve">Pazartesi</t>
        </is>
      </c>
      <c r="D288" s="3" t="inlineStr">
        <is>
          <t xml:space="preserve">CMPE371</t>
        </is>
      </c>
      <c r="E288" s="3" t="inlineStr">
        <is>
          <t xml:space="preserve">Min</t>
        </is>
      </c>
      <c r="F288" s="3" t="inlineStr">
        <is>
          <t xml:space="preserve">P3</t>
        </is>
      </c>
      <c r="G288" s="6">
        <v>8</v>
      </c>
      <c r="H288" s="2" t="inlineStr">
        <is>
          <t xml:space="preserve">Tekrar (kapalı kitap aktif hatırlama, konu başına ~8 dk): DTFT (D+1)</t>
        </is>
      </c>
      <c r="I288" s="2"/>
      <c r="J288" s="7" t="inlineStr">
        <is>
          <t xml:space="preserve">Not Started</t>
        </is>
      </c>
      <c r="K288" s="7"/>
      <c r="L288" s="3"/>
    </row>
    <row r="289">
      <c r="A289" s="2" t="inlineStr">
        <is>
          <t xml:space="preserve">2026-11-30-07</t>
        </is>
      </c>
      <c r="B289" s="4">
        <v>46356</v>
      </c>
      <c r="C289" s="3" t="inlineStr">
        <is>
          <t xml:space="preserve">Pazartesi</t>
        </is>
      </c>
      <c r="D289" s="3" t="inlineStr">
        <is>
          <t xml:space="preserve">CMPE453</t>
        </is>
      </c>
      <c r="E289" s="3" t="inlineStr">
        <is>
          <t xml:space="preserve">Min</t>
        </is>
      </c>
      <c r="F289" s="3" t="inlineStr">
        <is>
          <t xml:space="preserve">P3</t>
        </is>
      </c>
      <c r="G289" s="6">
        <v>8</v>
      </c>
      <c r="H289" s="2" t="inlineStr">
        <is>
          <t xml:space="preserve">Tekrar (kapalı kitap aktif hatırlama, konu başına ~8 dk): PWM (AVR) (D+3)</t>
        </is>
      </c>
      <c r="I289" s="2"/>
      <c r="J289" s="7" t="inlineStr">
        <is>
          <t xml:space="preserve">Not Started</t>
        </is>
      </c>
      <c r="K289" s="7"/>
      <c r="L289" s="3"/>
    </row>
    <row r="290">
      <c r="A290" s="2" t="inlineStr">
        <is>
          <t xml:space="preserve">2026-11-30-08</t>
        </is>
      </c>
      <c r="B290" s="4">
        <v>46356</v>
      </c>
      <c r="C290" s="3" t="inlineStr">
        <is>
          <t xml:space="preserve">Pazartesi</t>
        </is>
      </c>
      <c r="D290" s="3" t="inlineStr">
        <is>
          <t xml:space="preserve">BIO110</t>
        </is>
      </c>
      <c r="E290" s="3" t="inlineStr">
        <is>
          <t xml:space="preserve">Ext</t>
        </is>
      </c>
      <c r="F290" s="3" t="inlineStr">
        <is>
          <t xml:space="preserve">P3</t>
        </is>
      </c>
      <c r="G290" s="6">
        <v>8</v>
      </c>
      <c r="H290" s="2" t="inlineStr">
        <is>
          <t xml:space="preserve">Tekrar (kapalı kitap aktif hatırlama, konu başına ~8 dk): Molecular Basis of Inheritance (D+14)</t>
        </is>
      </c>
      <c r="I290" s="2"/>
      <c r="J290" s="7" t="inlineStr">
        <is>
          <t xml:space="preserve">Not Started</t>
        </is>
      </c>
      <c r="K290" s="7"/>
      <c r="L290" s="3"/>
    </row>
    <row r="291">
      <c r="A291" s="2" t="inlineStr">
        <is>
          <t xml:space="preserve">2026-12-01-01</t>
        </is>
      </c>
      <c r="B291" s="4">
        <v>46357</v>
      </c>
      <c r="C291" s="3" t="inlineStr">
        <is>
          <t xml:space="preserve">Salı</t>
        </is>
      </c>
      <c r="D291" s="3" t="inlineStr">
        <is>
          <t xml:space="preserve">CMPE327</t>
        </is>
      </c>
      <c r="E291" s="3" t="inlineStr">
        <is>
          <t xml:space="preserve">Min</t>
        </is>
      </c>
      <c r="F291" s="3" t="inlineStr">
        <is>
          <t xml:space="preserve">P2</t>
        </is>
      </c>
      <c r="G291" s="6">
        <v>90</v>
      </c>
      <c r="H291" s="2" t="inlineStr">
        <is>
          <t xml:space="preserve">Pumping lemma + non-regularity — pumping lemma ispat şablonu, karşı örnek seçimi. ▸ 8 dil için düzenli değil ispatı</t>
        </is>
      </c>
      <c r="I291" s="2" t="inlineStr">
        <is>
          <t xml:space="preserve">Hoca slaytı + ders kitabı (syllabus'ta belirtilmemiş: Materyal bekleniyor) — Materyal bekleniyor</t>
        </is>
      </c>
      <c r="J291" s="7" t="inlineStr">
        <is>
          <t xml:space="preserve">Not Started</t>
        </is>
      </c>
      <c r="K291" s="7"/>
      <c r="L291" s="3"/>
    </row>
    <row r="292">
      <c r="A292" s="2" t="inlineStr">
        <is>
          <t xml:space="preserve">2026-12-01-02</t>
        </is>
      </c>
      <c r="B292" s="4">
        <v>46357</v>
      </c>
      <c r="C292" s="3" t="inlineStr">
        <is>
          <t xml:space="preserve">Salı</t>
        </is>
      </c>
      <c r="D292" s="3" t="inlineStr">
        <is>
          <t xml:space="preserve">BIO110</t>
        </is>
      </c>
      <c r="E292" s="3" t="inlineStr">
        <is>
          <t xml:space="preserve">Min</t>
        </is>
      </c>
      <c r="F292" s="3" t="inlineStr">
        <is>
          <t xml:space="preserve">P3</t>
        </is>
      </c>
      <c r="G292" s="6">
        <v>80</v>
      </c>
      <c r="H292" s="2" t="inlineStr">
        <is>
          <t xml:space="preserve">The Evolution of Populations — gen havuzu, Hardy–Weinberg, genetik sürüklenme, gen akışı, seçilim türleri. ▸ 6 Hardy–Weinberg problemi + 12 soru</t>
        </is>
      </c>
      <c r="I292" s="2" t="inlineStr">
        <is>
          <t xml:space="preserve">Campbell Biology (ilgili bölüm; baskıya göre numara değişir) + hoca slaytı — Materyal bekleniyor</t>
        </is>
      </c>
      <c r="J292" s="7" t="inlineStr">
        <is>
          <t xml:space="preserve">Not Started</t>
        </is>
      </c>
      <c r="K292" s="7"/>
      <c r="L292" s="3"/>
    </row>
    <row r="293">
      <c r="A293" s="2" t="inlineStr">
        <is>
          <t xml:space="preserve">2026-12-01-03</t>
        </is>
      </c>
      <c r="B293" s="4">
        <v>46357</v>
      </c>
      <c r="C293" s="3" t="inlineStr">
        <is>
          <t xml:space="preserve">Salı</t>
        </is>
      </c>
      <c r="D293" s="3" t="inlineStr">
        <is>
          <t xml:space="preserve">CMPE421</t>
        </is>
      </c>
      <c r="E293" s="3" t="inlineStr">
        <is>
          <t xml:space="preserve">Min</t>
        </is>
      </c>
      <c r="F293" s="3" t="inlineStr">
        <is>
          <t xml:space="preserve">P3</t>
        </is>
      </c>
      <c r="G293" s="6">
        <v>8</v>
      </c>
      <c r="H293" s="2" t="inlineStr">
        <is>
          <t xml:space="preserve">Tekrar (kapalı kitap aktif hatırlama, konu başına ~8 dk): Classification and regression (D+1)</t>
        </is>
      </c>
      <c r="I293" s="2"/>
      <c r="J293" s="7" t="inlineStr">
        <is>
          <t xml:space="preserve">Not Started</t>
        </is>
      </c>
      <c r="K293" s="7"/>
      <c r="L293" s="3"/>
    </row>
    <row r="294">
      <c r="A294" s="2" t="inlineStr">
        <is>
          <t xml:space="preserve">2026-12-01-04</t>
        </is>
      </c>
      <c r="B294" s="4">
        <v>46357</v>
      </c>
      <c r="C294" s="3" t="inlineStr">
        <is>
          <t xml:space="preserve">Salı</t>
        </is>
      </c>
      <c r="D294" s="3" t="inlineStr">
        <is>
          <t xml:space="preserve">CMPE327</t>
        </is>
      </c>
      <c r="E294" s="3" t="inlineStr">
        <is>
          <t xml:space="preserve">Min</t>
        </is>
      </c>
      <c r="F294" s="3" t="inlineStr">
        <is>
          <t xml:space="preserve">P3</t>
        </is>
      </c>
      <c r="G294" s="6">
        <v>8</v>
      </c>
      <c r="H294" s="2" t="inlineStr">
        <is>
          <t xml:space="preserve">Tekrar (kapalı kitap aktif hatırlama, konu başına ~8 dk): Chomsky Normal Form (D+3)</t>
        </is>
      </c>
      <c r="I294" s="2"/>
      <c r="J294" s="7" t="inlineStr">
        <is>
          <t xml:space="preserve">Not Started</t>
        </is>
      </c>
      <c r="K294" s="7"/>
      <c r="L294" s="3"/>
    </row>
    <row r="295">
      <c r="A295" s="2" t="inlineStr">
        <is>
          <t xml:space="preserve">2026-12-01-05</t>
        </is>
      </c>
      <c r="B295" s="4">
        <v>46357</v>
      </c>
      <c r="C295" s="3" t="inlineStr">
        <is>
          <t xml:space="preserve">Salı</t>
        </is>
      </c>
      <c r="D295" s="3" t="inlineStr">
        <is>
          <t xml:space="preserve">CMPE371</t>
        </is>
      </c>
      <c r="E295" s="3" t="inlineStr">
        <is>
          <t xml:space="preserve">Min</t>
        </is>
      </c>
      <c r="F295" s="3" t="inlineStr">
        <is>
          <t xml:space="preserve">P3</t>
        </is>
      </c>
      <c r="G295" s="6">
        <v>8</v>
      </c>
      <c r="H295" s="2" t="inlineStr">
        <is>
          <t xml:space="preserve">Tekrar (kapalı kitap aktif hatırlama, konu başına ~8 dk): DTFS (D+3)</t>
        </is>
      </c>
      <c r="I295" s="2"/>
      <c r="J295" s="7" t="inlineStr">
        <is>
          <t xml:space="preserve">Not Started</t>
        </is>
      </c>
      <c r="K295" s="7"/>
      <c r="L295" s="3"/>
    </row>
    <row r="296">
      <c r="A296" s="2" t="inlineStr">
        <is>
          <t xml:space="preserve">2026-12-01-06</t>
        </is>
      </c>
      <c r="B296" s="4">
        <v>46357</v>
      </c>
      <c r="C296" s="3" t="inlineStr">
        <is>
          <t xml:space="preserve">Salı</t>
        </is>
      </c>
      <c r="D296" s="3" t="inlineStr">
        <is>
          <t xml:space="preserve">BIO110</t>
        </is>
      </c>
      <c r="E296" s="3" t="inlineStr">
        <is>
          <t xml:space="preserve">Ext</t>
        </is>
      </c>
      <c r="F296" s="3" t="inlineStr">
        <is>
          <t xml:space="preserve">P3</t>
        </is>
      </c>
      <c r="G296" s="6">
        <v>8</v>
      </c>
      <c r="H296" s="2" t="inlineStr">
        <is>
          <t xml:space="preserve">Tekrar (kapalı kitap aktif hatırlama, konu başına ~8 dk): Gene Expression: Gene to Protein (D+14)</t>
        </is>
      </c>
      <c r="I296" s="2"/>
      <c r="J296" s="7" t="inlineStr">
        <is>
          <t xml:space="preserve">Not Started</t>
        </is>
      </c>
      <c r="K296" s="7"/>
      <c r="L296" s="3"/>
    </row>
    <row r="297">
      <c r="A297" s="2" t="inlineStr">
        <is>
          <t xml:space="preserve">2026-12-01-07</t>
        </is>
      </c>
      <c r="B297" s="4">
        <v>46357</v>
      </c>
      <c r="C297" s="3" t="inlineStr">
        <is>
          <t xml:space="preserve">Salı</t>
        </is>
      </c>
      <c r="D297" s="3" t="inlineStr">
        <is>
          <t xml:space="preserve">CMPE453</t>
        </is>
      </c>
      <c r="E297" s="3" t="inlineStr">
        <is>
          <t xml:space="preserve">Ext</t>
        </is>
      </c>
      <c r="F297" s="3" t="inlineStr">
        <is>
          <t xml:space="preserve">P3</t>
        </is>
      </c>
      <c r="G297" s="6">
        <v>8</v>
      </c>
      <c r="H297" s="2" t="inlineStr">
        <is>
          <t xml:space="preserve">Tekrar (kapalı kitap aktif hatırlama, konu başına ~8 dk): Timers/counters (D+14)</t>
        </is>
      </c>
      <c r="I297" s="2"/>
      <c r="J297" s="7" t="inlineStr">
        <is>
          <t xml:space="preserve">Not Started</t>
        </is>
      </c>
      <c r="K297" s="7"/>
      <c r="L297" s="3"/>
    </row>
    <row r="298">
      <c r="A298" s="2" t="inlineStr">
        <is>
          <t xml:space="preserve">2026-12-02-01</t>
        </is>
      </c>
      <c r="B298" s="4">
        <v>46358</v>
      </c>
      <c r="C298" s="3" t="inlineStr">
        <is>
          <t xml:space="preserve">Çarşamba</t>
        </is>
      </c>
      <c r="D298" s="3" t="inlineStr">
        <is>
          <t xml:space="preserve">BIO110</t>
        </is>
      </c>
      <c r="E298" s="3" t="inlineStr">
        <is>
          <t xml:space="preserve">Min</t>
        </is>
      </c>
      <c r="F298" s="3" t="inlineStr">
        <is>
          <t xml:space="preserve">P3</t>
        </is>
      </c>
      <c r="G298" s="6">
        <v>90</v>
      </c>
      <c r="H298" s="2" t="inlineStr">
        <is>
          <t xml:space="preserve">Proje: içerik araştırma/yazım — slayt içeriği taslağı. ▸ Her slayt için 3 madde</t>
        </is>
      </c>
      <c r="I298" s="2"/>
      <c r="J298" s="7" t="inlineStr">
        <is>
          <t xml:space="preserve">Not Started</t>
        </is>
      </c>
      <c r="K298" s="7"/>
      <c r="L298" s="3" t="inlineStr">
        <is>
          <t xml:space="preserve">★</t>
        </is>
      </c>
    </row>
    <row r="299">
      <c r="A299" s="2" t="inlineStr">
        <is>
          <t xml:space="preserve">2026-12-02-02</t>
        </is>
      </c>
      <c r="B299" s="4">
        <v>46358</v>
      </c>
      <c r="C299" s="3" t="inlineStr">
        <is>
          <t xml:space="preserve">Çarşamba</t>
        </is>
      </c>
      <c r="D299" s="3" t="inlineStr">
        <is>
          <t xml:space="preserve">CMPE453</t>
        </is>
      </c>
      <c r="E299" s="3" t="inlineStr">
        <is>
          <t xml:space="preserve">Min</t>
        </is>
      </c>
      <c r="F299" s="3" t="inlineStr">
        <is>
          <t xml:space="preserve">P2</t>
        </is>
      </c>
      <c r="G299" s="6">
        <v>60</v>
      </c>
      <c r="H299" s="2" t="inlineStr">
        <is>
          <t xml:space="preserve">ARM Cortex / STM32 Discovery temelleri — Cortex-M mimarisi, kart donanımı, saat ağacı. ▸ 10 kavram sorusu</t>
        </is>
      </c>
      <c r="I299" s="2" t="inlineStr">
        <is>
          <t xml:space="preserve">Elliot (syllabus: Ch.1–10) + STM32 Manual + hoca slaytı — Materyal bekleniyor</t>
        </is>
      </c>
      <c r="J299" s="7" t="inlineStr">
        <is>
          <t xml:space="preserve">Not Started</t>
        </is>
      </c>
      <c r="K299" s="7"/>
      <c r="L299" s="3"/>
    </row>
    <row r="300">
      <c r="A300" s="2" t="inlineStr">
        <is>
          <t xml:space="preserve">2026-12-02-03</t>
        </is>
      </c>
      <c r="B300" s="4">
        <v>46358</v>
      </c>
      <c r="C300" s="3" t="inlineStr">
        <is>
          <t xml:space="preserve">Çarşamba</t>
        </is>
      </c>
      <c r="D300" s="3" t="inlineStr">
        <is>
          <t xml:space="preserve">CMPE327</t>
        </is>
      </c>
      <c r="E300" s="3" t="inlineStr">
        <is>
          <t xml:space="preserve">Min</t>
        </is>
      </c>
      <c r="F300" s="3" t="inlineStr">
        <is>
          <t xml:space="preserve">P3</t>
        </is>
      </c>
      <c r="G300" s="6">
        <v>16</v>
      </c>
      <c r="H300" s="2" t="inlineStr">
        <is>
          <t xml:space="preserve">Tekrar (kapalı kitap aktif hatırlama, konu başına ~8 dk): Pumping lemma + non-regularity (D+1); CYK algoritması (D+3)</t>
        </is>
      </c>
      <c r="I300" s="2"/>
      <c r="J300" s="7" t="inlineStr">
        <is>
          <t xml:space="preserve">Not Started</t>
        </is>
      </c>
      <c r="K300" s="7"/>
      <c r="L300" s="3"/>
    </row>
    <row r="301">
      <c r="A301" s="2" t="inlineStr">
        <is>
          <t xml:space="preserve">2026-12-02-04</t>
        </is>
      </c>
      <c r="B301" s="4">
        <v>46358</v>
      </c>
      <c r="C301" s="3" t="inlineStr">
        <is>
          <t xml:space="preserve">Çarşamba</t>
        </is>
      </c>
      <c r="D301" s="3" t="inlineStr">
        <is>
          <t xml:space="preserve">BIO110</t>
        </is>
      </c>
      <c r="E301" s="3" t="inlineStr">
        <is>
          <t xml:space="preserve">Min</t>
        </is>
      </c>
      <c r="F301" s="3" t="inlineStr">
        <is>
          <t xml:space="preserve">P3</t>
        </is>
      </c>
      <c r="G301" s="6">
        <v>16</v>
      </c>
      <c r="H301" s="2" t="inlineStr">
        <is>
          <t xml:space="preserve">Tekrar (kapalı kitap aktif hatırlama, konu başına ~8 dk): The Evolution of Populations (D+1); Descent with Modification (D+3)</t>
        </is>
      </c>
      <c r="I301" s="2"/>
      <c r="J301" s="7" t="inlineStr">
        <is>
          <t xml:space="preserve">Not Started</t>
        </is>
      </c>
      <c r="K301" s="7"/>
      <c r="L301" s="3"/>
    </row>
    <row r="302">
      <c r="A302" s="2" t="inlineStr">
        <is>
          <t xml:space="preserve">2026-12-02-05</t>
        </is>
      </c>
      <c r="B302" s="4">
        <v>46358</v>
      </c>
      <c r="C302" s="3" t="inlineStr">
        <is>
          <t xml:space="preserve">Çarşamba</t>
        </is>
      </c>
      <c r="D302" s="3" t="inlineStr">
        <is>
          <t xml:space="preserve">CMPE421</t>
        </is>
      </c>
      <c r="E302" s="3" t="inlineStr">
        <is>
          <t xml:space="preserve">Min</t>
        </is>
      </c>
      <c r="F302" s="3" t="inlineStr">
        <is>
          <t xml:space="preserve">P3</t>
        </is>
      </c>
      <c r="G302" s="6">
        <v>8</v>
      </c>
      <c r="H302" s="2" t="inlineStr">
        <is>
          <t xml:space="preserve">Tekrar (kapalı kitap aktif hatırlama, konu başına ~8 dk): ML fundamentals (D+3)</t>
        </is>
      </c>
      <c r="I302" s="2"/>
      <c r="J302" s="7" t="inlineStr">
        <is>
          <t xml:space="preserve">Not Started</t>
        </is>
      </c>
      <c r="K302" s="7"/>
      <c r="L302" s="3"/>
    </row>
    <row r="303">
      <c r="A303" s="2" t="inlineStr">
        <is>
          <t xml:space="preserve">2026-12-02-06</t>
        </is>
      </c>
      <c r="B303" s="4">
        <v>46358</v>
      </c>
      <c r="C303" s="3" t="inlineStr">
        <is>
          <t xml:space="preserve">Çarşamba</t>
        </is>
      </c>
      <c r="D303" s="3" t="inlineStr">
        <is>
          <t xml:space="preserve">CMPE371</t>
        </is>
      </c>
      <c r="E303" s="3" t="inlineStr">
        <is>
          <t xml:space="preserve">Min</t>
        </is>
      </c>
      <c r="F303" s="3" t="inlineStr">
        <is>
          <t xml:space="preserve">P3</t>
        </is>
      </c>
      <c r="G303" s="6">
        <v>8</v>
      </c>
      <c r="H303" s="2" t="inlineStr">
        <is>
          <t xml:space="preserve">Tekrar (kapalı kitap aktif hatırlama, konu başına ~8 dk): DTFT (D+3)</t>
        </is>
      </c>
      <c r="I303" s="2"/>
      <c r="J303" s="7" t="inlineStr">
        <is>
          <t xml:space="preserve">Not Started</t>
        </is>
      </c>
      <c r="K303" s="7"/>
      <c r="L303" s="3"/>
    </row>
    <row r="304">
      <c r="A304" s="2" t="inlineStr">
        <is>
          <t xml:space="preserve">2026-12-02-07</t>
        </is>
      </c>
      <c r="B304" s="4">
        <v>46358</v>
      </c>
      <c r="C304" s="3" t="inlineStr">
        <is>
          <t xml:space="preserve">Çarşamba</t>
        </is>
      </c>
      <c r="D304" s="3" t="inlineStr">
        <is>
          <t xml:space="preserve">BIO110</t>
        </is>
      </c>
      <c r="E304" s="3" t="inlineStr">
        <is>
          <t xml:space="preserve">Ext</t>
        </is>
      </c>
      <c r="F304" s="3" t="inlineStr">
        <is>
          <t xml:space="preserve">P3</t>
        </is>
      </c>
      <c r="G304" s="6">
        <v>8</v>
      </c>
      <c r="H304" s="2" t="inlineStr">
        <is>
          <t xml:space="preserve">Tekrar (kapalı kitap aktif hatırlama, konu başına ~8 dk): Regulation of Gene Expression (D+14)</t>
        </is>
      </c>
      <c r="I304" s="2"/>
      <c r="J304" s="7" t="inlineStr">
        <is>
          <t xml:space="preserve">Not Started</t>
        </is>
      </c>
      <c r="K304" s="7"/>
      <c r="L304" s="3"/>
    </row>
    <row r="305">
      <c r="A305" s="2" t="inlineStr">
        <is>
          <t xml:space="preserve">2026-12-03-01</t>
        </is>
      </c>
      <c r="B305" s="4">
        <v>46359</v>
      </c>
      <c r="C305" s="3" t="inlineStr">
        <is>
          <t xml:space="preserve">Perşembe</t>
        </is>
      </c>
      <c r="D305" s="3" t="inlineStr">
        <is>
          <t xml:space="preserve">CMPE371</t>
        </is>
      </c>
      <c r="E305" s="3" t="inlineStr">
        <is>
          <t xml:space="preserve">Min</t>
        </is>
      </c>
      <c r="F305" s="3" t="inlineStr">
        <is>
          <t xml:space="preserve">P1</t>
        </is>
      </c>
      <c r="G305" s="6">
        <v>60</v>
      </c>
      <c r="H305" s="2" t="inlineStr">
        <is>
          <t xml:space="preserve">Quiz-1 hazırlık — DTFS/DTFT + önceki konulardan karma. ▸ 15 kısa soru, süreli</t>
        </is>
      </c>
      <c r="I305" s="2" t="inlineStr">
        <is>
          <t xml:space="preserve">Hoca slaytı + ders kitabı (syllabus'ta belirtilmemiş: Materyal bekleniyor) — Materyal bekleniyor</t>
        </is>
      </c>
      <c r="J305" s="7" t="inlineStr">
        <is>
          <t xml:space="preserve">Not Started</t>
        </is>
      </c>
      <c r="K305" s="7"/>
      <c r="L305" s="3"/>
    </row>
    <row r="306">
      <c r="A306" s="2" t="inlineStr">
        <is>
          <t xml:space="preserve">2026-12-03-02</t>
        </is>
      </c>
      <c r="B306" s="4">
        <v>46359</v>
      </c>
      <c r="C306" s="3" t="inlineStr">
        <is>
          <t xml:space="preserve">Perşembe</t>
        </is>
      </c>
      <c r="D306" s="3" t="inlineStr">
        <is>
          <t xml:space="preserve">CMPE421</t>
        </is>
      </c>
      <c r="E306" s="3" t="inlineStr">
        <is>
          <t xml:space="preserve">Min</t>
        </is>
      </c>
      <c r="F306" s="3" t="inlineStr">
        <is>
          <t xml:space="preserve">P3</t>
        </is>
      </c>
      <c r="G306" s="6">
        <v>80</v>
      </c>
      <c r="H306" s="2" t="inlineStr">
        <is>
          <t xml:space="preserve">Neural networks and deep learning — perceptron, aktivasyon, geri yayılım, CNN/RNN temelleri. ▸ 3 ileri-geri yayılım hesabı</t>
        </is>
      </c>
      <c r="I306" s="2" t="inlineStr">
        <is>
          <t xml:space="preserve">Hoca slaytı (syllabus kitap belirtmiyor: Materyal bekleniyor) — Materyal bekleniyor</t>
        </is>
      </c>
      <c r="J306" s="7" t="inlineStr">
        <is>
          <t xml:space="preserve">Not Started</t>
        </is>
      </c>
      <c r="K306" s="7"/>
      <c r="L306" s="3"/>
    </row>
    <row r="307">
      <c r="A307" s="2" t="inlineStr">
        <is>
          <t xml:space="preserve">2026-12-03-03</t>
        </is>
      </c>
      <c r="B307" s="4">
        <v>46359</v>
      </c>
      <c r="C307" s="3" t="inlineStr">
        <is>
          <t xml:space="preserve">Perşembe</t>
        </is>
      </c>
      <c r="D307" s="3" t="inlineStr">
        <is>
          <t xml:space="preserve">CMPE453</t>
        </is>
      </c>
      <c r="E307" s="3" t="inlineStr">
        <is>
          <t xml:space="preserve">Min</t>
        </is>
      </c>
      <c r="F307" s="3" t="inlineStr">
        <is>
          <t xml:space="preserve">P3</t>
        </is>
      </c>
      <c r="G307" s="6">
        <v>8</v>
      </c>
      <c r="H307" s="2" t="inlineStr">
        <is>
          <t xml:space="preserve">Tekrar (kapalı kitap aktif hatırlama, konu başına ~8 dk): ARM Cortex / STM32 Discovery temelleri (D+1)</t>
        </is>
      </c>
      <c r="I307" s="2"/>
      <c r="J307" s="7" t="inlineStr">
        <is>
          <t xml:space="preserve">Not Started</t>
        </is>
      </c>
      <c r="K307" s="7"/>
      <c r="L307" s="3"/>
    </row>
    <row r="308">
      <c r="A308" s="2" t="inlineStr">
        <is>
          <t xml:space="preserve">2026-12-03-04</t>
        </is>
      </c>
      <c r="B308" s="4">
        <v>46359</v>
      </c>
      <c r="C308" s="3" t="inlineStr">
        <is>
          <t xml:space="preserve">Perşembe</t>
        </is>
      </c>
      <c r="D308" s="3" t="inlineStr">
        <is>
          <t xml:space="preserve">CMPE421</t>
        </is>
      </c>
      <c r="E308" s="3" t="inlineStr">
        <is>
          <t xml:space="preserve">Min</t>
        </is>
      </c>
      <c r="F308" s="3" t="inlineStr">
        <is>
          <t xml:space="preserve">P3</t>
        </is>
      </c>
      <c r="G308" s="6">
        <v>8</v>
      </c>
      <c r="H308" s="2" t="inlineStr">
        <is>
          <t xml:space="preserve">Tekrar (kapalı kitap aktif hatırlama, konu başına ~8 dk): Classification and regression (D+3)</t>
        </is>
      </c>
      <c r="I308" s="2"/>
      <c r="J308" s="7" t="inlineStr">
        <is>
          <t xml:space="preserve">Not Started</t>
        </is>
      </c>
      <c r="K308" s="7"/>
      <c r="L308" s="3"/>
    </row>
    <row r="309">
      <c r="A309" s="2" t="inlineStr">
        <is>
          <t xml:space="preserve">2026-12-03-05</t>
        </is>
      </c>
      <c r="B309" s="4">
        <v>46359</v>
      </c>
      <c r="C309" s="3" t="inlineStr">
        <is>
          <t xml:space="preserve">Perşembe</t>
        </is>
      </c>
      <c r="D309" s="3" t="inlineStr">
        <is>
          <t xml:space="preserve">BIO110</t>
        </is>
      </c>
      <c r="E309" s="3" t="inlineStr">
        <is>
          <t xml:space="preserve">Ext</t>
        </is>
      </c>
      <c r="F309" s="3" t="inlineStr">
        <is>
          <t xml:space="preserve">P3</t>
        </is>
      </c>
      <c r="G309" s="6">
        <v>8</v>
      </c>
      <c r="H309" s="2" t="inlineStr">
        <is>
          <t xml:space="preserve">Tekrar (kapalı kitap aktif hatırlama, konu başına ~8 dk): DNA Tools and Biotechnology (D+14)</t>
        </is>
      </c>
      <c r="I309" s="2"/>
      <c r="J309" s="7" t="inlineStr">
        <is>
          <t xml:space="preserve">Not Started</t>
        </is>
      </c>
      <c r="K309" s="7"/>
      <c r="L309" s="3"/>
    </row>
    <row r="310">
      <c r="A310" s="2" t="inlineStr">
        <is>
          <t xml:space="preserve">2026-12-04-01</t>
        </is>
      </c>
      <c r="B310" s="4">
        <v>46360</v>
      </c>
      <c r="C310" s="3" t="inlineStr">
        <is>
          <t xml:space="preserve">Cuma</t>
        </is>
      </c>
      <c r="D310" s="3" t="inlineStr">
        <is>
          <t xml:space="preserve">BIO110</t>
        </is>
      </c>
      <c r="E310" s="3" t="inlineStr">
        <is>
          <t xml:space="preserve">Min</t>
        </is>
      </c>
      <c r="F310" s="3" t="inlineStr">
        <is>
          <t xml:space="preserve">P2</t>
        </is>
      </c>
      <c r="G310" s="6">
        <v>90</v>
      </c>
      <c r="H310" s="2" t="inlineStr">
        <is>
          <t xml:space="preserve">Proje: slayt tasarımı — görseller, akış, kaynakça. ▸ Tüm slaytları bitir</t>
        </is>
      </c>
      <c r="I310" s="2"/>
      <c r="J310" s="7" t="inlineStr">
        <is>
          <t xml:space="preserve">Not Started</t>
        </is>
      </c>
      <c r="K310" s="7"/>
      <c r="L310" s="3" t="inlineStr">
        <is>
          <t xml:space="preserve">★</t>
        </is>
      </c>
    </row>
    <row r="311">
      <c r="A311" s="2" t="inlineStr">
        <is>
          <t xml:space="preserve">2026-12-04-02</t>
        </is>
      </c>
      <c r="B311" s="4">
        <v>46360</v>
      </c>
      <c r="C311" s="3" t="inlineStr">
        <is>
          <t xml:space="preserve">Cuma</t>
        </is>
      </c>
      <c r="D311" s="3" t="inlineStr">
        <is>
          <t xml:space="preserve">CMPE327</t>
        </is>
      </c>
      <c r="E311" s="3" t="inlineStr">
        <is>
          <t xml:space="preserve">Min</t>
        </is>
      </c>
      <c r="F311" s="3" t="inlineStr">
        <is>
          <t xml:space="preserve">P3</t>
        </is>
      </c>
      <c r="G311" s="6">
        <v>90</v>
      </c>
      <c r="H311" s="2" t="inlineStr">
        <is>
          <t xml:space="preserve">Pushdown automata — PDA tanımı, tasarım, CFG↔PDA. ▸ 6 PDA tasarla/izle</t>
        </is>
      </c>
      <c r="I311" s="2" t="inlineStr">
        <is>
          <t xml:space="preserve">Hoca slaytı + ders kitabı (syllabus'ta belirtilmemiş: Materyal bekleniyor) — Materyal bekleniyor</t>
        </is>
      </c>
      <c r="J311" s="7" t="inlineStr">
        <is>
          <t xml:space="preserve">Not Started</t>
        </is>
      </c>
      <c r="K311" s="7"/>
      <c r="L311" s="3"/>
    </row>
    <row r="312">
      <c r="A312" s="2" t="inlineStr">
        <is>
          <t xml:space="preserve">2026-12-04-03</t>
        </is>
      </c>
      <c r="B312" s="4">
        <v>46360</v>
      </c>
      <c r="C312" s="3" t="inlineStr">
        <is>
          <t xml:space="preserve">Cuma</t>
        </is>
      </c>
      <c r="D312" s="3" t="inlineStr">
        <is>
          <t xml:space="preserve">CMPE421</t>
        </is>
      </c>
      <c r="E312" s="3" t="inlineStr">
        <is>
          <t xml:space="preserve">Min</t>
        </is>
      </c>
      <c r="F312" s="3" t="inlineStr">
        <is>
          <t xml:space="preserve">P3</t>
        </is>
      </c>
      <c r="G312" s="6">
        <v>8</v>
      </c>
      <c r="H312" s="2" t="inlineStr">
        <is>
          <t xml:space="preserve">Tekrar (kapalı kitap aktif hatırlama, konu başına ~8 dk): Neural networks and deep learning (D+1)</t>
        </is>
      </c>
      <c r="I312" s="2"/>
      <c r="J312" s="7" t="inlineStr">
        <is>
          <t xml:space="preserve">Not Started</t>
        </is>
      </c>
      <c r="K312" s="7"/>
      <c r="L312" s="3"/>
    </row>
    <row r="313">
      <c r="A313" s="2" t="inlineStr">
        <is>
          <t xml:space="preserve">2026-12-04-04</t>
        </is>
      </c>
      <c r="B313" s="4">
        <v>46360</v>
      </c>
      <c r="C313" s="3" t="inlineStr">
        <is>
          <t xml:space="preserve">Cuma</t>
        </is>
      </c>
      <c r="D313" s="3" t="inlineStr">
        <is>
          <t xml:space="preserve">CMPE327</t>
        </is>
      </c>
      <c r="E313" s="3" t="inlineStr">
        <is>
          <t xml:space="preserve">Min</t>
        </is>
      </c>
      <c r="F313" s="3" t="inlineStr">
        <is>
          <t xml:space="preserve">P3</t>
        </is>
      </c>
      <c r="G313" s="6">
        <v>8</v>
      </c>
      <c r="H313" s="2" t="inlineStr">
        <is>
          <t xml:space="preserve">Tekrar (kapalı kitap aktif hatırlama, konu başına ~8 dk): Pumping lemma + non-regularity (D+3)</t>
        </is>
      </c>
      <c r="I313" s="2"/>
      <c r="J313" s="7" t="inlineStr">
        <is>
          <t xml:space="preserve">Not Started</t>
        </is>
      </c>
      <c r="K313" s="7"/>
      <c r="L313" s="3"/>
    </row>
    <row r="314">
      <c r="A314" s="2" t="inlineStr">
        <is>
          <t xml:space="preserve">2026-12-04-05</t>
        </is>
      </c>
      <c r="B314" s="4">
        <v>46360</v>
      </c>
      <c r="C314" s="3" t="inlineStr">
        <is>
          <t xml:space="preserve">Cuma</t>
        </is>
      </c>
      <c r="D314" s="3" t="inlineStr">
        <is>
          <t xml:space="preserve">BIO110</t>
        </is>
      </c>
      <c r="E314" s="3" t="inlineStr">
        <is>
          <t xml:space="preserve">Min</t>
        </is>
      </c>
      <c r="F314" s="3" t="inlineStr">
        <is>
          <t xml:space="preserve">P3</t>
        </is>
      </c>
      <c r="G314" s="6">
        <v>8</v>
      </c>
      <c r="H314" s="2" t="inlineStr">
        <is>
          <t xml:space="preserve">Tekrar (kapalı kitap aktif hatırlama, konu başına ~8 dk): The Evolution of Populations (D+3)</t>
        </is>
      </c>
      <c r="I314" s="2"/>
      <c r="J314" s="7" t="inlineStr">
        <is>
          <t xml:space="preserve">Not Started</t>
        </is>
      </c>
      <c r="K314" s="7"/>
      <c r="L314" s="3"/>
    </row>
    <row r="315">
      <c r="A315" s="2" t="inlineStr">
        <is>
          <t xml:space="preserve">2026-12-04-06</t>
        </is>
      </c>
      <c r="B315" s="4">
        <v>46360</v>
      </c>
      <c r="C315" s="3" t="inlineStr">
        <is>
          <t xml:space="preserve">Cuma</t>
        </is>
      </c>
      <c r="D315" s="3" t="inlineStr">
        <is>
          <t xml:space="preserve">CMPE453</t>
        </is>
      </c>
      <c r="E315" s="3" t="inlineStr">
        <is>
          <t xml:space="preserve">Ext</t>
        </is>
      </c>
      <c r="F315" s="3" t="inlineStr">
        <is>
          <t xml:space="preserve">P3</t>
        </is>
      </c>
      <c r="G315" s="6">
        <v>8</v>
      </c>
      <c r="H315" s="2" t="inlineStr">
        <is>
          <t xml:space="preserve">Tekrar (kapalı kitap aktif hatırlama, konu başına ~8 dk): PWM (AVR) (D+7)</t>
        </is>
      </c>
      <c r="I315" s="2"/>
      <c r="J315" s="7" t="inlineStr">
        <is>
          <t xml:space="preserve">Not Started</t>
        </is>
      </c>
      <c r="K315" s="7"/>
      <c r="L315" s="3"/>
    </row>
    <row r="316">
      <c r="A316" s="2" t="inlineStr">
        <is>
          <t xml:space="preserve">2026-12-05-01</t>
        </is>
      </c>
      <c r="B316" s="4">
        <v>46361</v>
      </c>
      <c r="C316" s="3" t="inlineStr">
        <is>
          <t xml:space="preserve">Cumartesi</t>
        </is>
      </c>
      <c r="D316" s="3" t="inlineStr">
        <is>
          <t xml:space="preserve">BIO110</t>
        </is>
      </c>
      <c r="E316" s="3" t="inlineStr">
        <is>
          <t xml:space="preserve">Min</t>
        </is>
      </c>
      <c r="F316" s="3" t="inlineStr">
        <is>
          <t xml:space="preserve">P2</t>
        </is>
      </c>
      <c r="G316" s="6">
        <v>60</v>
      </c>
      <c r="H316" s="2" t="inlineStr">
        <is>
          <t xml:space="preserve">Proje: prova — süreli sunum provası. ▸ 2 tam prova, süre ≤ hoca sınırı</t>
        </is>
      </c>
      <c r="I316" s="2"/>
      <c r="J316" s="7" t="inlineStr">
        <is>
          <t xml:space="preserve">Not Started</t>
        </is>
      </c>
      <c r="K316" s="7"/>
      <c r="L316" s="3" t="inlineStr">
        <is>
          <t xml:space="preserve">★</t>
        </is>
      </c>
    </row>
    <row r="317">
      <c r="A317" s="2" t="inlineStr">
        <is>
          <t xml:space="preserve">2026-12-05-02</t>
        </is>
      </c>
      <c r="B317" s="4">
        <v>46361</v>
      </c>
      <c r="C317" s="3" t="inlineStr">
        <is>
          <t xml:space="preserve">Cumartesi</t>
        </is>
      </c>
      <c r="D317" s="3" t="inlineStr">
        <is>
          <t xml:space="preserve">BIO110</t>
        </is>
      </c>
      <c r="E317" s="3" t="inlineStr">
        <is>
          <t xml:space="preserve">Min</t>
        </is>
      </c>
      <c r="F317" s="3" t="inlineStr">
        <is>
          <t xml:space="preserve">P2</t>
        </is>
      </c>
      <c r="G317" s="6">
        <v>40</v>
      </c>
      <c r="H317" s="2" t="inlineStr">
        <is>
          <t xml:space="preserve">Proje: son kontrol — dosya yedeği, soru-cevap hazırlığı. ▸ PDF + PPT yedeği</t>
        </is>
      </c>
      <c r="I317" s="2"/>
      <c r="J317" s="7" t="inlineStr">
        <is>
          <t xml:space="preserve">Not Started</t>
        </is>
      </c>
      <c r="K317" s="7"/>
      <c r="L317" s="3" t="inlineStr">
        <is>
          <t xml:space="preserve">★</t>
        </is>
      </c>
    </row>
    <row r="318">
      <c r="A318" s="2" t="inlineStr">
        <is>
          <t xml:space="preserve">2026-12-05-03</t>
        </is>
      </c>
      <c r="B318" s="4">
        <v>46361</v>
      </c>
      <c r="C318" s="3" t="inlineStr">
        <is>
          <t xml:space="preserve">Cumartesi</t>
        </is>
      </c>
      <c r="D318" s="3" t="inlineStr">
        <is>
          <t xml:space="preserve">CMPE421</t>
        </is>
      </c>
      <c r="E318" s="3" t="inlineStr">
        <is>
          <t xml:space="preserve">Min</t>
        </is>
      </c>
      <c r="F318" s="3" t="inlineStr">
        <is>
          <t xml:space="preserve">P3</t>
        </is>
      </c>
      <c r="G318" s="6">
        <v>90</v>
      </c>
      <c r="H318" s="2" t="inlineStr">
        <is>
          <t xml:space="preserve">Homework çalışma — ödev metni (tarih doğrulanınca ayarla). ▸ ödevi bitir + kontrol</t>
        </is>
      </c>
      <c r="I318" s="2"/>
      <c r="J318" s="7" t="inlineStr">
        <is>
          <t xml:space="preserve">Not Started</t>
        </is>
      </c>
      <c r="K318" s="7"/>
      <c r="L318" s="3"/>
    </row>
    <row r="319">
      <c r="A319" s="2" t="inlineStr">
        <is>
          <t xml:space="preserve">2026-12-05-04</t>
        </is>
      </c>
      <c r="B319" s="4">
        <v>46361</v>
      </c>
      <c r="C319" s="3" t="inlineStr">
        <is>
          <t xml:space="preserve">Cumartesi</t>
        </is>
      </c>
      <c r="D319" s="3" t="inlineStr">
        <is>
          <t xml:space="preserve">CMPE327</t>
        </is>
      </c>
      <c r="E319" s="3" t="inlineStr">
        <is>
          <t xml:space="preserve">Min</t>
        </is>
      </c>
      <c r="F319" s="3" t="inlineStr">
        <is>
          <t xml:space="preserve">P3</t>
        </is>
      </c>
      <c r="G319" s="6">
        <v>8</v>
      </c>
      <c r="H319" s="2" t="inlineStr">
        <is>
          <t xml:space="preserve">Tekrar (kapalı kitap aktif hatırlama, konu başına ~8 dk): Pushdown automata (D+1)</t>
        </is>
      </c>
      <c r="I319" s="2"/>
      <c r="J319" s="7" t="inlineStr">
        <is>
          <t xml:space="preserve">Not Started</t>
        </is>
      </c>
      <c r="K319" s="7"/>
      <c r="L319" s="3"/>
    </row>
    <row r="320">
      <c r="A320" s="2" t="inlineStr">
        <is>
          <t xml:space="preserve">2026-12-05-05</t>
        </is>
      </c>
      <c r="B320" s="4">
        <v>46361</v>
      </c>
      <c r="C320" s="3" t="inlineStr">
        <is>
          <t xml:space="preserve">Cumartesi</t>
        </is>
      </c>
      <c r="D320" s="3" t="inlineStr">
        <is>
          <t xml:space="preserve">CMPE453</t>
        </is>
      </c>
      <c r="E320" s="3" t="inlineStr">
        <is>
          <t xml:space="preserve">Min</t>
        </is>
      </c>
      <c r="F320" s="3" t="inlineStr">
        <is>
          <t xml:space="preserve">P3</t>
        </is>
      </c>
      <c r="G320" s="6">
        <v>8</v>
      </c>
      <c r="H320" s="2" t="inlineStr">
        <is>
          <t xml:space="preserve">Tekrar (kapalı kitap aktif hatırlama, konu başına ~8 dk): ARM Cortex / STM32 Discovery temelleri (D+3)</t>
        </is>
      </c>
      <c r="I320" s="2"/>
      <c r="J320" s="7" t="inlineStr">
        <is>
          <t xml:space="preserve">Not Started</t>
        </is>
      </c>
      <c r="K320" s="7"/>
      <c r="L320" s="3"/>
    </row>
    <row r="321">
      <c r="A321" s="2" t="inlineStr">
        <is>
          <t xml:space="preserve">2026-12-05-06</t>
        </is>
      </c>
      <c r="B321" s="4">
        <v>46361</v>
      </c>
      <c r="C321" s="3" t="inlineStr">
        <is>
          <t xml:space="preserve">Cumartesi</t>
        </is>
      </c>
      <c r="D321" s="3" t="inlineStr">
        <is>
          <t xml:space="preserve">CMPE327</t>
        </is>
      </c>
      <c r="E321" s="3" t="inlineStr">
        <is>
          <t xml:space="preserve">Ext</t>
        </is>
      </c>
      <c r="F321" s="3" t="inlineStr">
        <is>
          <t xml:space="preserve">P3</t>
        </is>
      </c>
      <c r="G321" s="6">
        <v>8</v>
      </c>
      <c r="H321" s="2" t="inlineStr">
        <is>
          <t xml:space="preserve">Tekrar (kapalı kitap aktif hatırlama, konu başına ~8 dk): Chomsky Normal Form (D+7)</t>
        </is>
      </c>
      <c r="I321" s="2"/>
      <c r="J321" s="7" t="inlineStr">
        <is>
          <t xml:space="preserve">Not Started</t>
        </is>
      </c>
      <c r="K321" s="7"/>
      <c r="L321" s="3"/>
    </row>
    <row r="322">
      <c r="A322" s="2" t="inlineStr">
        <is>
          <t xml:space="preserve">2026-12-05-07</t>
        </is>
      </c>
      <c r="B322" s="4">
        <v>46361</v>
      </c>
      <c r="C322" s="3" t="inlineStr">
        <is>
          <t xml:space="preserve">Cumartesi</t>
        </is>
      </c>
      <c r="D322" s="3" t="inlineStr">
        <is>
          <t xml:space="preserve">CMPE371</t>
        </is>
      </c>
      <c r="E322" s="3" t="inlineStr">
        <is>
          <t xml:space="preserve">Ext</t>
        </is>
      </c>
      <c r="F322" s="3" t="inlineStr">
        <is>
          <t xml:space="preserve">P2</t>
        </is>
      </c>
      <c r="G322" s="6">
        <v>8</v>
      </c>
      <c r="H322" s="2" t="inlineStr">
        <is>
          <t xml:space="preserve">Tekrar (kapalı kitap aktif hatırlama, konu başına ~8 dk): DTFS (D+7)</t>
        </is>
      </c>
      <c r="I322" s="2"/>
      <c r="J322" s="7" t="inlineStr">
        <is>
          <t xml:space="preserve">Not Started</t>
        </is>
      </c>
      <c r="K322" s="7"/>
      <c r="L322" s="3"/>
    </row>
    <row r="323">
      <c r="A323" s="2" t="inlineStr">
        <is>
          <t xml:space="preserve">2026-12-06-01</t>
        </is>
      </c>
      <c r="B323" s="4">
        <v>46362</v>
      </c>
      <c r="C323" s="3" t="inlineStr">
        <is>
          <t xml:space="preserve">Pazar</t>
        </is>
      </c>
      <c r="D323" s="3" t="inlineStr">
        <is>
          <t xml:space="preserve">CMPE421</t>
        </is>
      </c>
      <c r="E323" s="3" t="inlineStr">
        <is>
          <t xml:space="preserve">Min</t>
        </is>
      </c>
      <c r="F323" s="3" t="inlineStr">
        <is>
          <t xml:space="preserve">P3</t>
        </is>
      </c>
      <c r="G323" s="6">
        <v>70</v>
      </c>
      <c r="H323" s="2" t="inlineStr">
        <is>
          <t xml:space="preserve">NLP and LLMs — tokenizasyon, gömme, dikkat/transformer, LLM sınırları. ▸ 10 kavram sorusu</t>
        </is>
      </c>
      <c r="I323" s="2" t="inlineStr">
        <is>
          <t xml:space="preserve">Hoca slaytı (syllabus kitap belirtmiyor: Materyal bekleniyor) — Materyal bekleniyor</t>
        </is>
      </c>
      <c r="J323" s="7" t="inlineStr">
        <is>
          <t xml:space="preserve">Not Started</t>
        </is>
      </c>
      <c r="K323" s="7"/>
      <c r="L323" s="3"/>
    </row>
    <row r="324">
      <c r="A324" s="2" t="inlineStr">
        <is>
          <t xml:space="preserve">2026-12-06-02</t>
        </is>
      </c>
      <c r="B324" s="4">
        <v>46362</v>
      </c>
      <c r="C324" s="3" t="inlineStr">
        <is>
          <t xml:space="preserve">Pazar</t>
        </is>
      </c>
      <c r="D324" s="3" t="inlineStr">
        <is>
          <t xml:space="preserve">CMPE453</t>
        </is>
      </c>
      <c r="E324" s="3" t="inlineStr">
        <is>
          <t xml:space="preserve">Min</t>
        </is>
      </c>
      <c r="F324" s="3" t="inlineStr">
        <is>
          <t xml:space="preserve">P2</t>
        </is>
      </c>
      <c r="G324" s="6">
        <v>80</v>
      </c>
      <c r="H324" s="2" t="inlineStr">
        <is>
          <t xml:space="preserve">STM32 GPIO + LED — GPIO modları, RCC saat açma, MODER/ODR, LED yakma. ▸ 5 register yapılandırması (kağıt) (Lab 5)</t>
        </is>
      </c>
      <c r="I324" s="2" t="inlineStr">
        <is>
          <t xml:space="preserve">Elliot (syllabus: Ch.1–10) + STM32 Manual + hoca slaytı — Materyal bekleniyor</t>
        </is>
      </c>
      <c r="J324" s="7" t="inlineStr">
        <is>
          <t xml:space="preserve">Not Started</t>
        </is>
      </c>
      <c r="K324" s="7"/>
      <c r="L324" s="3"/>
    </row>
    <row r="325">
      <c r="A325" s="2" t="inlineStr">
        <is>
          <t xml:space="preserve">2026-12-06-03</t>
        </is>
      </c>
      <c r="B325" s="4">
        <v>46362</v>
      </c>
      <c r="C325" s="3" t="inlineStr">
        <is>
          <t xml:space="preserve">Pazar</t>
        </is>
      </c>
      <c r="D325" s="3" t="inlineStr">
        <is>
          <t xml:space="preserve">CMPE327</t>
        </is>
      </c>
      <c r="E325" s="3" t="inlineStr">
        <is>
          <t xml:space="preserve">Min</t>
        </is>
      </c>
      <c r="F325" s="3" t="inlineStr">
        <is>
          <t xml:space="preserve">P3</t>
        </is>
      </c>
      <c r="G325" s="6">
        <v>60</v>
      </c>
      <c r="H325" s="2" t="inlineStr">
        <is>
          <t xml:space="preserve">Ogden's lemma — tanım, pumping lemma farkı, uygulama. ▸ 4 problem</t>
        </is>
      </c>
      <c r="I325" s="2" t="inlineStr">
        <is>
          <t xml:space="preserve">Hoca slaytı + ders kitabı (syllabus'ta belirtilmemiş: Materyal bekleniyor) — Materyal bekleniyor</t>
        </is>
      </c>
      <c r="J325" s="7" t="inlineStr">
        <is>
          <t xml:space="preserve">Not Started</t>
        </is>
      </c>
      <c r="K325" s="7"/>
      <c r="L325" s="3"/>
    </row>
    <row r="326">
      <c r="A326" s="2" t="inlineStr">
        <is>
          <t xml:space="preserve">2026-12-06-04</t>
        </is>
      </c>
      <c r="B326" s="4">
        <v>46362</v>
      </c>
      <c r="C326" s="3" t="inlineStr">
        <is>
          <t xml:space="preserve">Pazar</t>
        </is>
      </c>
      <c r="D326" s="3" t="inlineStr">
        <is>
          <t xml:space="preserve">CMPE371</t>
        </is>
      </c>
      <c r="E326" s="3" t="inlineStr">
        <is>
          <t xml:space="preserve">Min</t>
        </is>
      </c>
      <c r="F326" s="3" t="inlineStr">
        <is>
          <t xml:space="preserve">P1</t>
        </is>
      </c>
      <c r="G326" s="6">
        <v>80</v>
      </c>
      <c r="H326" s="2" t="inlineStr">
        <is>
          <t xml:space="preserve">Filtering — alçak/yüksek/bant geçiren filtre, ideal vs gerçek, frekans yanıtı. ▸ 6 filtre problemi</t>
        </is>
      </c>
      <c r="I326" s="2" t="inlineStr">
        <is>
          <t xml:space="preserve">Hoca slaytı + ders kitabı (syllabus'ta belirtilmemiş: Materyal bekleniyor) — Materyal bekleniyor</t>
        </is>
      </c>
      <c r="J326" s="7" t="inlineStr">
        <is>
          <t xml:space="preserve">Not Started</t>
        </is>
      </c>
      <c r="K326" s="7"/>
      <c r="L326" s="3"/>
    </row>
    <row r="327">
      <c r="A327" s="2" t="inlineStr">
        <is>
          <t xml:space="preserve">2026-12-06-05</t>
        </is>
      </c>
      <c r="B327" s="4">
        <v>46362</v>
      </c>
      <c r="C327" s="3" t="inlineStr">
        <is>
          <t xml:space="preserve">Pazar</t>
        </is>
      </c>
      <c r="D327" s="3" t="inlineStr">
        <is>
          <t xml:space="preserve">CMPE421</t>
        </is>
      </c>
      <c r="E327" s="3" t="inlineStr">
        <is>
          <t xml:space="preserve">Min</t>
        </is>
      </c>
      <c r="F327" s="3" t="inlineStr">
        <is>
          <t xml:space="preserve">P3</t>
        </is>
      </c>
      <c r="G327" s="6">
        <v>8</v>
      </c>
      <c r="H327" s="2" t="inlineStr">
        <is>
          <t xml:space="preserve">Tekrar (kapalı kitap aktif hatırlama, konu başına ~8 dk): Neural networks and deep learning (D+3)</t>
        </is>
      </c>
      <c r="I327" s="2"/>
      <c r="J327" s="7" t="inlineStr">
        <is>
          <t xml:space="preserve">Not Started</t>
        </is>
      </c>
      <c r="K327" s="7"/>
      <c r="L327" s="3"/>
    </row>
    <row r="328">
      <c r="A328" s="2" t="inlineStr">
        <is>
          <t xml:space="preserve">2026-12-06-06</t>
        </is>
      </c>
      <c r="B328" s="4">
        <v>46362</v>
      </c>
      <c r="C328" s="3" t="inlineStr">
        <is>
          <t xml:space="preserve">Pazar</t>
        </is>
      </c>
      <c r="D328" s="3" t="inlineStr">
        <is>
          <t xml:space="preserve">CMPE327</t>
        </is>
      </c>
      <c r="E328" s="3" t="inlineStr">
        <is>
          <t xml:space="preserve">Ext</t>
        </is>
      </c>
      <c r="F328" s="3" t="inlineStr">
        <is>
          <t xml:space="preserve">P3</t>
        </is>
      </c>
      <c r="G328" s="6">
        <v>8</v>
      </c>
      <c r="H328" s="2" t="inlineStr">
        <is>
          <t xml:space="preserve">Tekrar (kapalı kitap aktif hatırlama, konu başına ~8 dk): CYK algoritması (D+7)</t>
        </is>
      </c>
      <c r="I328" s="2"/>
      <c r="J328" s="7" t="inlineStr">
        <is>
          <t xml:space="preserve">Not Started</t>
        </is>
      </c>
      <c r="K328" s="7"/>
      <c r="L328" s="3"/>
    </row>
    <row r="329">
      <c r="A329" s="2" t="inlineStr">
        <is>
          <t xml:space="preserve">2026-12-06-07</t>
        </is>
      </c>
      <c r="B329" s="4">
        <v>46362</v>
      </c>
      <c r="C329" s="3" t="inlineStr">
        <is>
          <t xml:space="preserve">Pazar</t>
        </is>
      </c>
      <c r="D329" s="3" t="inlineStr">
        <is>
          <t xml:space="preserve">BIO110</t>
        </is>
      </c>
      <c r="E329" s="3" t="inlineStr">
        <is>
          <t xml:space="preserve">Ext</t>
        </is>
      </c>
      <c r="F329" s="3" t="inlineStr">
        <is>
          <t xml:space="preserve">P3</t>
        </is>
      </c>
      <c r="G329" s="6">
        <v>8</v>
      </c>
      <c r="H329" s="2" t="inlineStr">
        <is>
          <t xml:space="preserve">Tekrar (kapalı kitap aktif hatırlama, konu başına ~8 dk): Descent with Modification (D+7)</t>
        </is>
      </c>
      <c r="I329" s="2"/>
      <c r="J329" s="7" t="inlineStr">
        <is>
          <t xml:space="preserve">Not Started</t>
        </is>
      </c>
      <c r="K329" s="7"/>
      <c r="L329" s="3"/>
    </row>
    <row r="330">
      <c r="A330" s="2" t="inlineStr">
        <is>
          <t xml:space="preserve">2026-12-06-08</t>
        </is>
      </c>
      <c r="B330" s="4">
        <v>46362</v>
      </c>
      <c r="C330" s="3" t="inlineStr">
        <is>
          <t xml:space="preserve">Pazar</t>
        </is>
      </c>
      <c r="D330" s="3" t="inlineStr">
        <is>
          <t xml:space="preserve">CMPE421</t>
        </is>
      </c>
      <c r="E330" s="3" t="inlineStr">
        <is>
          <t xml:space="preserve">Ext</t>
        </is>
      </c>
      <c r="F330" s="3" t="inlineStr">
        <is>
          <t xml:space="preserve">P3</t>
        </is>
      </c>
      <c r="G330" s="6">
        <v>8</v>
      </c>
      <c r="H330" s="2" t="inlineStr">
        <is>
          <t xml:space="preserve">Tekrar (kapalı kitap aktif hatırlama, konu başına ~8 dk): ML fundamentals (D+7)</t>
        </is>
      </c>
      <c r="I330" s="2"/>
      <c r="J330" s="7" t="inlineStr">
        <is>
          <t xml:space="preserve">Not Started</t>
        </is>
      </c>
      <c r="K330" s="7"/>
      <c r="L330" s="3"/>
    </row>
    <row r="331">
      <c r="A331" s="2" t="inlineStr">
        <is>
          <t xml:space="preserve">2026-12-06-09</t>
        </is>
      </c>
      <c r="B331" s="4">
        <v>46362</v>
      </c>
      <c r="C331" s="3" t="inlineStr">
        <is>
          <t xml:space="preserve">Pazar</t>
        </is>
      </c>
      <c r="D331" s="3" t="inlineStr">
        <is>
          <t xml:space="preserve">CMPE371</t>
        </is>
      </c>
      <c r="E331" s="3" t="inlineStr">
        <is>
          <t xml:space="preserve">Ext</t>
        </is>
      </c>
      <c r="F331" s="3" t="inlineStr">
        <is>
          <t xml:space="preserve">P2</t>
        </is>
      </c>
      <c r="G331" s="6">
        <v>8</v>
      </c>
      <c r="H331" s="2" t="inlineStr">
        <is>
          <t xml:space="preserve">Tekrar (kapalı kitap aktif hatırlama, konu başına ~8 dk): DTFT (D+7)</t>
        </is>
      </c>
      <c r="I331" s="2"/>
      <c r="J331" s="7" t="inlineStr">
        <is>
          <t xml:space="preserve">Not Started</t>
        </is>
      </c>
      <c r="K331" s="7"/>
      <c r="L331" s="3"/>
    </row>
    <row r="332">
      <c r="A332" s="2" t="inlineStr">
        <is>
          <t xml:space="preserve">2026-12-07-01</t>
        </is>
      </c>
      <c r="B332" s="4">
        <v>46363</v>
      </c>
      <c r="C332" s="3" t="inlineStr">
        <is>
          <t xml:space="preserve">Pazartesi</t>
        </is>
      </c>
      <c r="D332" s="3" t="inlineStr">
        <is>
          <t xml:space="preserve">CMPE327</t>
        </is>
      </c>
      <c r="E332" s="3" t="inlineStr">
        <is>
          <t xml:space="preserve">Min</t>
        </is>
      </c>
      <c r="F332" s="3" t="inlineStr">
        <is>
          <t xml:space="preserve">P2</t>
        </is>
      </c>
      <c r="G332" s="6">
        <v>60</v>
      </c>
      <c r="H332" s="2" t="inlineStr">
        <is>
          <t xml:space="preserve">Quiz-2 hazırlık — CNF/CYK/PDA/pumping. ▸ 15 kısa soru, süreli</t>
        </is>
      </c>
      <c r="I332" s="2" t="inlineStr">
        <is>
          <t xml:space="preserve">Hoca slaytı + ders kitabı (syllabus'ta belirtilmemiş: Materyal bekleniyor) — Materyal bekleniyor</t>
        </is>
      </c>
      <c r="J332" s="7" t="inlineStr">
        <is>
          <t xml:space="preserve">Not Started</t>
        </is>
      </c>
      <c r="K332" s="7"/>
      <c r="L332" s="3"/>
    </row>
    <row r="333">
      <c r="A333" s="2" t="inlineStr">
        <is>
          <t xml:space="preserve">2026-12-07-02</t>
        </is>
      </c>
      <c r="B333" s="4">
        <v>46363</v>
      </c>
      <c r="C333" s="3" t="inlineStr">
        <is>
          <t xml:space="preserve">Pazartesi</t>
        </is>
      </c>
      <c r="D333" s="3" t="inlineStr">
        <is>
          <t xml:space="preserve">CMPE421</t>
        </is>
      </c>
      <c r="E333" s="3" t="inlineStr">
        <is>
          <t xml:space="preserve">Min</t>
        </is>
      </c>
      <c r="F333" s="3" t="inlineStr">
        <is>
          <t xml:space="preserve">P3</t>
        </is>
      </c>
      <c r="G333" s="6">
        <v>80</v>
      </c>
      <c r="H333" s="2" t="inlineStr">
        <is>
          <t xml:space="preserve">Reinforcement learning — MDP, ödül, Q-learning, keşif–sömürü. ▸ 3 Q-learning güncellemesi</t>
        </is>
      </c>
      <c r="I333" s="2" t="inlineStr">
        <is>
          <t xml:space="preserve">Hoca slaytı (syllabus kitap belirtmiyor: Materyal bekleniyor) — Materyal bekleniyor</t>
        </is>
      </c>
      <c r="J333" s="7" t="inlineStr">
        <is>
          <t xml:space="preserve">Not Started</t>
        </is>
      </c>
      <c r="K333" s="7"/>
      <c r="L333" s="3"/>
    </row>
    <row r="334">
      <c r="A334" s="2" t="inlineStr">
        <is>
          <t xml:space="preserve">2026-12-07-03</t>
        </is>
      </c>
      <c r="B334" s="4">
        <v>46363</v>
      </c>
      <c r="C334" s="3" t="inlineStr">
        <is>
          <t xml:space="preserve">Pazartesi</t>
        </is>
      </c>
      <c r="D334" s="3" t="inlineStr">
        <is>
          <t xml:space="preserve">CMPE327</t>
        </is>
      </c>
      <c r="E334" s="3" t="inlineStr">
        <is>
          <t xml:space="preserve">Min</t>
        </is>
      </c>
      <c r="F334" s="3" t="inlineStr">
        <is>
          <t xml:space="preserve">P3</t>
        </is>
      </c>
      <c r="G334" s="6">
        <v>16</v>
      </c>
      <c r="H334" s="2" t="inlineStr">
        <is>
          <t xml:space="preserve">Tekrar (kapalı kitap aktif hatırlama, konu başına ~8 dk): Ogden's lemma (D+1); Pushdown automata (D+3)</t>
        </is>
      </c>
      <c r="I334" s="2"/>
      <c r="J334" s="7" t="inlineStr">
        <is>
          <t xml:space="preserve">Not Started</t>
        </is>
      </c>
      <c r="K334" s="7"/>
      <c r="L334" s="3"/>
    </row>
    <row r="335">
      <c r="A335" s="2" t="inlineStr">
        <is>
          <t xml:space="preserve">2026-12-07-04</t>
        </is>
      </c>
      <c r="B335" s="4">
        <v>46363</v>
      </c>
      <c r="C335" s="3" t="inlineStr">
        <is>
          <t xml:space="preserve">Pazartesi</t>
        </is>
      </c>
      <c r="D335" s="3" t="inlineStr">
        <is>
          <t xml:space="preserve">CMPE421</t>
        </is>
      </c>
      <c r="E335" s="3" t="inlineStr">
        <is>
          <t xml:space="preserve">Min</t>
        </is>
      </c>
      <c r="F335" s="3" t="inlineStr">
        <is>
          <t xml:space="preserve">P3</t>
        </is>
      </c>
      <c r="G335" s="6">
        <v>8</v>
      </c>
      <c r="H335" s="2" t="inlineStr">
        <is>
          <t xml:space="preserve">Tekrar (kapalı kitap aktif hatırlama, konu başına ~8 dk): NLP and LLMs (D+1)</t>
        </is>
      </c>
      <c r="I335" s="2"/>
      <c r="J335" s="7" t="inlineStr">
        <is>
          <t xml:space="preserve">Not Started</t>
        </is>
      </c>
      <c r="K335" s="7"/>
      <c r="L335" s="3"/>
    </row>
    <row r="336">
      <c r="A336" s="2" t="inlineStr">
        <is>
          <t xml:space="preserve">2026-12-07-05</t>
        </is>
      </c>
      <c r="B336" s="4">
        <v>46363</v>
      </c>
      <c r="C336" s="3" t="inlineStr">
        <is>
          <t xml:space="preserve">Pazartesi</t>
        </is>
      </c>
      <c r="D336" s="3" t="inlineStr">
        <is>
          <t xml:space="preserve">CMPE453</t>
        </is>
      </c>
      <c r="E336" s="3" t="inlineStr">
        <is>
          <t xml:space="preserve">Min</t>
        </is>
      </c>
      <c r="F336" s="3" t="inlineStr">
        <is>
          <t xml:space="preserve">P3</t>
        </is>
      </c>
      <c r="G336" s="6">
        <v>8</v>
      </c>
      <c r="H336" s="2" t="inlineStr">
        <is>
          <t xml:space="preserve">Tekrar (kapalı kitap aktif hatırlama, konu başına ~8 dk): STM32 GPIO + LED (D+1)</t>
        </is>
      </c>
      <c r="I336" s="2"/>
      <c r="J336" s="7" t="inlineStr">
        <is>
          <t xml:space="preserve">Not Started</t>
        </is>
      </c>
      <c r="K336" s="7"/>
      <c r="L336" s="3"/>
    </row>
    <row r="337">
      <c r="A337" s="2" t="inlineStr">
        <is>
          <t xml:space="preserve">2026-12-07-06</t>
        </is>
      </c>
      <c r="B337" s="4">
        <v>46363</v>
      </c>
      <c r="C337" s="3" t="inlineStr">
        <is>
          <t xml:space="preserve">Pazartesi</t>
        </is>
      </c>
      <c r="D337" s="3" t="inlineStr">
        <is>
          <t xml:space="preserve">CMPE371</t>
        </is>
      </c>
      <c r="E337" s="3" t="inlineStr">
        <is>
          <t xml:space="preserve">Min</t>
        </is>
      </c>
      <c r="F337" s="3" t="inlineStr">
        <is>
          <t xml:space="preserve">P2</t>
        </is>
      </c>
      <c r="G337" s="6">
        <v>8</v>
      </c>
      <c r="H337" s="2" t="inlineStr">
        <is>
          <t xml:space="preserve">Tekrar (kapalı kitap aktif hatırlama, konu başına ~8 dk): Filtering (D+1)</t>
        </is>
      </c>
      <c r="I337" s="2"/>
      <c r="J337" s="7" t="inlineStr">
        <is>
          <t xml:space="preserve">Not Started</t>
        </is>
      </c>
      <c r="K337" s="7"/>
      <c r="L337" s="3"/>
    </row>
    <row r="338">
      <c r="A338" s="2" t="inlineStr">
        <is>
          <t xml:space="preserve">2026-12-07-07</t>
        </is>
      </c>
      <c r="B338" s="4">
        <v>46363</v>
      </c>
      <c r="C338" s="3" t="inlineStr">
        <is>
          <t xml:space="preserve">Pazartesi</t>
        </is>
      </c>
      <c r="D338" s="3" t="inlineStr">
        <is>
          <t xml:space="preserve">CMPE421</t>
        </is>
      </c>
      <c r="E338" s="3" t="inlineStr">
        <is>
          <t xml:space="preserve">Ext</t>
        </is>
      </c>
      <c r="F338" s="3" t="inlineStr">
        <is>
          <t xml:space="preserve">P3</t>
        </is>
      </c>
      <c r="G338" s="6">
        <v>8</v>
      </c>
      <c r="H338" s="2" t="inlineStr">
        <is>
          <t xml:space="preserve">Tekrar (kapalı kitap aktif hatırlama, konu başına ~8 dk): Classification and regression (D+7)</t>
        </is>
      </c>
      <c r="I338" s="2"/>
      <c r="J338" s="7" t="inlineStr">
        <is>
          <t xml:space="preserve">Not Started</t>
        </is>
      </c>
      <c r="K338" s="7"/>
      <c r="L338" s="3"/>
    </row>
    <row r="339">
      <c r="A339" s="2" t="inlineStr">
        <is>
          <t xml:space="preserve">2026-12-08-01</t>
        </is>
      </c>
      <c r="B339" s="4">
        <v>46364</v>
      </c>
      <c r="C339" s="3" t="inlineStr">
        <is>
          <t xml:space="preserve">Salı</t>
        </is>
      </c>
      <c r="D339" s="3" t="inlineStr">
        <is>
          <t xml:space="preserve">CMPE421</t>
        </is>
      </c>
      <c r="E339" s="3" t="inlineStr">
        <is>
          <t xml:space="preserve">Min</t>
        </is>
      </c>
      <c r="F339" s="3" t="inlineStr">
        <is>
          <t xml:space="preserve">P3</t>
        </is>
      </c>
      <c r="G339" s="6">
        <v>60</v>
      </c>
      <c r="H339" s="2" t="inlineStr">
        <is>
          <t xml:space="preserve">Kümülatif tekrar: önceki konulardan karma — dönemin ilk konularından unutulanları yakala (Topic Mastery'de düşük olanlar). ▸ 20 karışık soru + zayıf konu notu</t>
        </is>
      </c>
      <c r="I339" s="2"/>
      <c r="J339" s="7" t="inlineStr">
        <is>
          <t xml:space="preserve">Not Started</t>
        </is>
      </c>
      <c r="K339" s="7"/>
      <c r="L339" s="3"/>
    </row>
    <row r="340">
      <c r="A340" s="2" t="inlineStr">
        <is>
          <t xml:space="preserve">2026-12-08-02</t>
        </is>
      </c>
      <c r="B340" s="4">
        <v>46364</v>
      </c>
      <c r="C340" s="3" t="inlineStr">
        <is>
          <t xml:space="preserve">Salı</t>
        </is>
      </c>
      <c r="D340" s="3" t="inlineStr">
        <is>
          <t xml:space="preserve">CMPE327</t>
        </is>
      </c>
      <c r="E340" s="3" t="inlineStr">
        <is>
          <t xml:space="preserve">Min</t>
        </is>
      </c>
      <c r="F340" s="3" t="inlineStr">
        <is>
          <t xml:space="preserve">P2</t>
        </is>
      </c>
      <c r="G340" s="6">
        <v>60</v>
      </c>
      <c r="H340" s="2" t="inlineStr">
        <is>
          <t xml:space="preserve">Kümülatif tekrar: önceki konulardan karma — dönemin ilk konularından unutulanları yakala (Topic Mastery'de düşük olanlar). ▸ 20 karışık soru + zayıf konu notu</t>
        </is>
      </c>
      <c r="I340" s="2"/>
      <c r="J340" s="7" t="inlineStr">
        <is>
          <t xml:space="preserve">Not Started</t>
        </is>
      </c>
      <c r="K340" s="7"/>
      <c r="L340" s="3"/>
    </row>
    <row r="341">
      <c r="A341" s="2" t="inlineStr">
        <is>
          <t xml:space="preserve">2026-12-08-03</t>
        </is>
      </c>
      <c r="B341" s="4">
        <v>46364</v>
      </c>
      <c r="C341" s="3" t="inlineStr">
        <is>
          <t xml:space="preserve">Salı</t>
        </is>
      </c>
      <c r="D341" s="3" t="inlineStr">
        <is>
          <t xml:space="preserve">BIO110</t>
        </is>
      </c>
      <c r="E341" s="3" t="inlineStr">
        <is>
          <t xml:space="preserve">Min</t>
        </is>
      </c>
      <c r="F341" s="3" t="inlineStr">
        <is>
          <t xml:space="preserve">P1</t>
        </is>
      </c>
      <c r="G341" s="6">
        <v>60</v>
      </c>
      <c r="H341" s="2" t="inlineStr">
        <is>
          <t xml:space="preserve">Kümülatif tekrar: önceki konulardan karma — dönemin ilk konularından unutulanları yakala (Topic Mastery'de düşük olanlar). ▸ 20 karışık soru + zayıf konu notu</t>
        </is>
      </c>
      <c r="I341" s="2"/>
      <c r="J341" s="7" t="inlineStr">
        <is>
          <t xml:space="preserve">Not Started</t>
        </is>
      </c>
      <c r="K341" s="7"/>
      <c r="L341" s="3"/>
    </row>
    <row r="342">
      <c r="A342" s="2" t="inlineStr">
        <is>
          <t xml:space="preserve">2026-12-08-04</t>
        </is>
      </c>
      <c r="B342" s="4">
        <v>46364</v>
      </c>
      <c r="C342" s="3" t="inlineStr">
        <is>
          <t xml:space="preserve">Salı</t>
        </is>
      </c>
      <c r="D342" s="3" t="inlineStr">
        <is>
          <t xml:space="preserve">CMPE421</t>
        </is>
      </c>
      <c r="E342" s="3" t="inlineStr">
        <is>
          <t xml:space="preserve">Min</t>
        </is>
      </c>
      <c r="F342" s="3" t="inlineStr">
        <is>
          <t xml:space="preserve">P3</t>
        </is>
      </c>
      <c r="G342" s="6">
        <v>8</v>
      </c>
      <c r="H342" s="2" t="inlineStr">
        <is>
          <t xml:space="preserve">Tekrar (kapalı kitap aktif hatırlama, konu başına ~8 dk): Reinforcement learning (D+1)</t>
        </is>
      </c>
      <c r="I342" s="2"/>
      <c r="J342" s="7" t="inlineStr">
        <is>
          <t xml:space="preserve">Not Started</t>
        </is>
      </c>
      <c r="K342" s="7"/>
      <c r="L342" s="3"/>
    </row>
    <row r="343">
      <c r="A343" s="2" t="inlineStr">
        <is>
          <t xml:space="preserve">2026-12-08-05</t>
        </is>
      </c>
      <c r="B343" s="4">
        <v>46364</v>
      </c>
      <c r="C343" s="3" t="inlineStr">
        <is>
          <t xml:space="preserve">Salı</t>
        </is>
      </c>
      <c r="D343" s="3" t="inlineStr">
        <is>
          <t xml:space="preserve">CMPE327</t>
        </is>
      </c>
      <c r="E343" s="3" t="inlineStr">
        <is>
          <t xml:space="preserve">Ext</t>
        </is>
      </c>
      <c r="F343" s="3" t="inlineStr">
        <is>
          <t xml:space="preserve">P3</t>
        </is>
      </c>
      <c r="G343" s="6">
        <v>8</v>
      </c>
      <c r="H343" s="2" t="inlineStr">
        <is>
          <t xml:space="preserve">Tekrar (kapalı kitap aktif hatırlama, konu başına ~8 dk): Pumping lemma + non-regularity (D+7)</t>
        </is>
      </c>
      <c r="I343" s="2"/>
      <c r="J343" s="7" t="inlineStr">
        <is>
          <t xml:space="preserve">Not Started</t>
        </is>
      </c>
      <c r="K343" s="7"/>
      <c r="L343" s="3"/>
    </row>
    <row r="344">
      <c r="A344" s="2" t="inlineStr">
        <is>
          <t xml:space="preserve">2026-12-08-06</t>
        </is>
      </c>
      <c r="B344" s="4">
        <v>46364</v>
      </c>
      <c r="C344" s="3" t="inlineStr">
        <is>
          <t xml:space="preserve">Salı</t>
        </is>
      </c>
      <c r="D344" s="3" t="inlineStr">
        <is>
          <t xml:space="preserve">BIO110</t>
        </is>
      </c>
      <c r="E344" s="3" t="inlineStr">
        <is>
          <t xml:space="preserve">Ext</t>
        </is>
      </c>
      <c r="F344" s="3" t="inlineStr">
        <is>
          <t xml:space="preserve">P2</t>
        </is>
      </c>
      <c r="G344" s="6">
        <v>8</v>
      </c>
      <c r="H344" s="2" t="inlineStr">
        <is>
          <t xml:space="preserve">Tekrar (kapalı kitap aktif hatırlama, konu başına ~8 dk): The Evolution of Populations (D+7)</t>
        </is>
      </c>
      <c r="I344" s="2"/>
      <c r="J344" s="7" t="inlineStr">
        <is>
          <t xml:space="preserve">Not Started</t>
        </is>
      </c>
      <c r="K344" s="7"/>
      <c r="L344" s="3"/>
    </row>
    <row r="345">
      <c r="A345" s="2" t="inlineStr">
        <is>
          <t xml:space="preserve">2026-12-09-01</t>
        </is>
      </c>
      <c r="B345" s="4">
        <v>46365</v>
      </c>
      <c r="C345" s="3" t="inlineStr">
        <is>
          <t xml:space="preserve">Çarşamba</t>
        </is>
      </c>
      <c r="D345" s="3" t="inlineStr">
        <is>
          <t xml:space="preserve">CMPE453</t>
        </is>
      </c>
      <c r="E345" s="3" t="inlineStr">
        <is>
          <t xml:space="preserve">Min</t>
        </is>
      </c>
      <c r="F345" s="3" t="inlineStr">
        <is>
          <t xml:space="preserve">P3</t>
        </is>
      </c>
      <c r="G345" s="6">
        <v>60</v>
      </c>
      <c r="H345" s="2" t="inlineStr">
        <is>
          <t xml:space="preserve">Kümülatif tekrar: önceki konulardan karma — dönemin ilk konularından unutulanları yakala (Topic Mastery'de düşük olanlar). ▸ 20 karışık soru + zayıf konu notu</t>
        </is>
      </c>
      <c r="I345" s="2"/>
      <c r="J345" s="7" t="inlineStr">
        <is>
          <t xml:space="preserve">Not Started</t>
        </is>
      </c>
      <c r="K345" s="7"/>
      <c r="L345" s="3"/>
    </row>
    <row r="346">
      <c r="A346" s="2" t="inlineStr">
        <is>
          <t xml:space="preserve">2026-12-09-02</t>
        </is>
      </c>
      <c r="B346" s="4">
        <v>46365</v>
      </c>
      <c r="C346" s="3" t="inlineStr">
        <is>
          <t xml:space="preserve">Çarşamba</t>
        </is>
      </c>
      <c r="D346" s="3" t="inlineStr">
        <is>
          <t xml:space="preserve">CMPE371</t>
        </is>
      </c>
      <c r="E346" s="3" t="inlineStr">
        <is>
          <t xml:space="preserve">Min</t>
        </is>
      </c>
      <c r="F346" s="3" t="inlineStr">
        <is>
          <t xml:space="preserve">P2</t>
        </is>
      </c>
      <c r="G346" s="6">
        <v>60</v>
      </c>
      <c r="H346" s="2" t="inlineStr">
        <is>
          <t xml:space="preserve">Kümülatif tekrar: önceki konulardan karma — dönemin ilk konularından unutulanları yakala (Topic Mastery'de düşük olanlar). ▸ 20 karışık soru + zayıf konu notu</t>
        </is>
      </c>
      <c r="I346" s="2"/>
      <c r="J346" s="7" t="inlineStr">
        <is>
          <t xml:space="preserve">Not Started</t>
        </is>
      </c>
      <c r="K346" s="7"/>
      <c r="L346" s="3"/>
    </row>
    <row r="347">
      <c r="A347" s="2" t="inlineStr">
        <is>
          <t xml:space="preserve">2026-12-09-03</t>
        </is>
      </c>
      <c r="B347" s="4">
        <v>46365</v>
      </c>
      <c r="C347" s="3" t="inlineStr">
        <is>
          <t xml:space="preserve">Çarşamba</t>
        </is>
      </c>
      <c r="D347" s="3" t="inlineStr">
        <is>
          <t xml:space="preserve">CMPE327</t>
        </is>
      </c>
      <c r="E347" s="3" t="inlineStr">
        <is>
          <t xml:space="preserve">Min</t>
        </is>
      </c>
      <c r="F347" s="3" t="inlineStr">
        <is>
          <t xml:space="preserve">P3</t>
        </is>
      </c>
      <c r="G347" s="6">
        <v>8</v>
      </c>
      <c r="H347" s="2" t="inlineStr">
        <is>
          <t xml:space="preserve">Tekrar (kapalı kitap aktif hatırlama, konu başına ~8 dk): Ogden's lemma (D+3)</t>
        </is>
      </c>
      <c r="I347" s="2"/>
      <c r="J347" s="7" t="inlineStr">
        <is>
          <t xml:space="preserve">Not Started</t>
        </is>
      </c>
      <c r="K347" s="7"/>
      <c r="L347" s="3"/>
    </row>
    <row r="348">
      <c r="A348" s="2" t="inlineStr">
        <is>
          <t xml:space="preserve">2026-12-09-04</t>
        </is>
      </c>
      <c r="B348" s="4">
        <v>46365</v>
      </c>
      <c r="C348" s="3" t="inlineStr">
        <is>
          <t xml:space="preserve">Çarşamba</t>
        </is>
      </c>
      <c r="D348" s="3" t="inlineStr">
        <is>
          <t xml:space="preserve">CMPE421</t>
        </is>
      </c>
      <c r="E348" s="3" t="inlineStr">
        <is>
          <t xml:space="preserve">Min</t>
        </is>
      </c>
      <c r="F348" s="3" t="inlineStr">
        <is>
          <t xml:space="preserve">P3</t>
        </is>
      </c>
      <c r="G348" s="6">
        <v>8</v>
      </c>
      <c r="H348" s="2" t="inlineStr">
        <is>
          <t xml:space="preserve">Tekrar (kapalı kitap aktif hatırlama, konu başına ~8 dk): NLP and LLMs (D+3)</t>
        </is>
      </c>
      <c r="I348" s="2"/>
      <c r="J348" s="7" t="inlineStr">
        <is>
          <t xml:space="preserve">Not Started</t>
        </is>
      </c>
      <c r="K348" s="7"/>
      <c r="L348" s="3"/>
    </row>
    <row r="349">
      <c r="A349" s="2" t="inlineStr">
        <is>
          <t xml:space="preserve">2026-12-09-05</t>
        </is>
      </c>
      <c r="B349" s="4">
        <v>46365</v>
      </c>
      <c r="C349" s="3" t="inlineStr">
        <is>
          <t xml:space="preserve">Çarşamba</t>
        </is>
      </c>
      <c r="D349" s="3" t="inlineStr">
        <is>
          <t xml:space="preserve">CMPE453</t>
        </is>
      </c>
      <c r="E349" s="3" t="inlineStr">
        <is>
          <t xml:space="preserve">Min</t>
        </is>
      </c>
      <c r="F349" s="3" t="inlineStr">
        <is>
          <t xml:space="preserve">P3</t>
        </is>
      </c>
      <c r="G349" s="6">
        <v>8</v>
      </c>
      <c r="H349" s="2" t="inlineStr">
        <is>
          <t xml:space="preserve">Tekrar (kapalı kitap aktif hatırlama, konu başına ~8 dk): STM32 GPIO + LED (D+3)</t>
        </is>
      </c>
      <c r="I349" s="2"/>
      <c r="J349" s="7" t="inlineStr">
        <is>
          <t xml:space="preserve">Not Started</t>
        </is>
      </c>
      <c r="K349" s="7"/>
      <c r="L349" s="3"/>
    </row>
    <row r="350">
      <c r="A350" s="2" t="inlineStr">
        <is>
          <t xml:space="preserve">2026-12-09-06</t>
        </is>
      </c>
      <c r="B350" s="4">
        <v>46365</v>
      </c>
      <c r="C350" s="3" t="inlineStr">
        <is>
          <t xml:space="preserve">Çarşamba</t>
        </is>
      </c>
      <c r="D350" s="3" t="inlineStr">
        <is>
          <t xml:space="preserve">CMPE371</t>
        </is>
      </c>
      <c r="E350" s="3" t="inlineStr">
        <is>
          <t xml:space="preserve">Min</t>
        </is>
      </c>
      <c r="F350" s="3" t="inlineStr">
        <is>
          <t xml:space="preserve">P3</t>
        </is>
      </c>
      <c r="G350" s="6">
        <v>8</v>
      </c>
      <c r="H350" s="2" t="inlineStr">
        <is>
          <t xml:space="preserve">Tekrar (kapalı kitap aktif hatırlama, konu başına ~8 dk): Filtering (D+3)</t>
        </is>
      </c>
      <c r="I350" s="2"/>
      <c r="J350" s="7" t="inlineStr">
        <is>
          <t xml:space="preserve">Not Started</t>
        </is>
      </c>
      <c r="K350" s="7"/>
      <c r="L350" s="3"/>
    </row>
    <row r="351">
      <c r="A351" s="2" t="inlineStr">
        <is>
          <t xml:space="preserve">2026-12-09-07</t>
        </is>
      </c>
      <c r="B351" s="4">
        <v>46365</v>
      </c>
      <c r="C351" s="3" t="inlineStr">
        <is>
          <t xml:space="preserve">Çarşamba</t>
        </is>
      </c>
      <c r="D351" s="3" t="inlineStr">
        <is>
          <t xml:space="preserve">CMPE453</t>
        </is>
      </c>
      <c r="E351" s="3" t="inlineStr">
        <is>
          <t xml:space="preserve">Ext</t>
        </is>
      </c>
      <c r="F351" s="3" t="inlineStr">
        <is>
          <t xml:space="preserve">P3</t>
        </is>
      </c>
      <c r="G351" s="6">
        <v>8</v>
      </c>
      <c r="H351" s="2" t="inlineStr">
        <is>
          <t xml:space="preserve">Tekrar (kapalı kitap aktif hatırlama, konu başına ~8 dk): ARM Cortex / STM32 Discovery temelleri (D+7)</t>
        </is>
      </c>
      <c r="I351" s="2"/>
      <c r="J351" s="7" t="inlineStr">
        <is>
          <t xml:space="preserve">Not Started</t>
        </is>
      </c>
      <c r="K351" s="7"/>
      <c r="L351" s="3"/>
    </row>
    <row r="352">
      <c r="A352" s="2" t="inlineStr">
        <is>
          <t xml:space="preserve">2026-12-10-01</t>
        </is>
      </c>
      <c r="B352" s="4">
        <v>46366</v>
      </c>
      <c r="C352" s="3" t="inlineStr">
        <is>
          <t xml:space="preserve">Perşembe</t>
        </is>
      </c>
      <c r="D352" s="3" t="inlineStr">
        <is>
          <t xml:space="preserve">CMPE453</t>
        </is>
      </c>
      <c r="E352" s="3" t="inlineStr">
        <is>
          <t xml:space="preserve">Min</t>
        </is>
      </c>
      <c r="F352" s="3" t="inlineStr">
        <is>
          <t xml:space="preserve">P3</t>
        </is>
      </c>
      <c r="G352" s="6">
        <v>80</v>
      </c>
      <c r="H352" s="2" t="inlineStr">
        <is>
          <t xml:space="preserve">PWM for ARM Cortex — Timer, ARR/PSC/CCR, PWM modları. ▸ 5 hesap + 2 kod (Lab 6)</t>
        </is>
      </c>
      <c r="I352" s="2" t="inlineStr">
        <is>
          <t xml:space="preserve">Elliot (syllabus: Ch.1–10) + STM32 Manual + hoca slaytı — Materyal bekleniyor</t>
        </is>
      </c>
      <c r="J352" s="7" t="inlineStr">
        <is>
          <t xml:space="preserve">Not Started</t>
        </is>
      </c>
      <c r="K352" s="7"/>
      <c r="L352" s="3"/>
    </row>
    <row r="353">
      <c r="A353" s="2" t="inlineStr">
        <is>
          <t xml:space="preserve">2026-12-10-02</t>
        </is>
      </c>
      <c r="B353" s="4">
        <v>46366</v>
      </c>
      <c r="C353" s="3" t="inlineStr">
        <is>
          <t xml:space="preserve">Perşembe</t>
        </is>
      </c>
      <c r="D353" s="3" t="inlineStr">
        <is>
          <t xml:space="preserve">CMPE421</t>
        </is>
      </c>
      <c r="E353" s="3" t="inlineStr">
        <is>
          <t xml:space="preserve">Min</t>
        </is>
      </c>
      <c r="F353" s="3" t="inlineStr">
        <is>
          <t xml:space="preserve">P3</t>
        </is>
      </c>
      <c r="G353" s="6">
        <v>50</v>
      </c>
      <c r="H353" s="2" t="inlineStr">
        <is>
          <t xml:space="preserve">Ethics, explainability, responsible AI — önyargı, açıklanabilirlik, sorumlu AI ilkeleri. ▸ kısa yazılı cevap 3 adet</t>
        </is>
      </c>
      <c r="I353" s="2" t="inlineStr">
        <is>
          <t xml:space="preserve">Hoca slaytı (syllabus kitap belirtmiyor: Materyal bekleniyor) — Materyal bekleniyor</t>
        </is>
      </c>
      <c r="J353" s="7" t="inlineStr">
        <is>
          <t xml:space="preserve">Not Started</t>
        </is>
      </c>
      <c r="K353" s="7"/>
      <c r="L353" s="3"/>
    </row>
    <row r="354">
      <c r="A354" s="2" t="inlineStr">
        <is>
          <t xml:space="preserve">2026-12-10-03</t>
        </is>
      </c>
      <c r="B354" s="4">
        <v>46366</v>
      </c>
      <c r="C354" s="3" t="inlineStr">
        <is>
          <t xml:space="preserve">Perşembe</t>
        </is>
      </c>
      <c r="D354" s="3" t="inlineStr">
        <is>
          <t xml:space="preserve">CMPE421</t>
        </is>
      </c>
      <c r="E354" s="3" t="inlineStr">
        <is>
          <t xml:space="preserve">Min</t>
        </is>
      </c>
      <c r="F354" s="3" t="inlineStr">
        <is>
          <t xml:space="preserve">P3</t>
        </is>
      </c>
      <c r="G354" s="6">
        <v>8</v>
      </c>
      <c r="H354" s="2" t="inlineStr">
        <is>
          <t xml:space="preserve">Tekrar (kapalı kitap aktif hatırlama, konu başına ~8 dk): Reinforcement learning (D+3)</t>
        </is>
      </c>
      <c r="I354" s="2"/>
      <c r="J354" s="7" t="inlineStr">
        <is>
          <t xml:space="preserve">Not Started</t>
        </is>
      </c>
      <c r="K354" s="7"/>
      <c r="L354" s="3"/>
    </row>
    <row r="355">
      <c r="A355" s="2" t="inlineStr">
        <is>
          <t xml:space="preserve">2026-12-10-04</t>
        </is>
      </c>
      <c r="B355" s="4">
        <v>46366</v>
      </c>
      <c r="C355" s="3" t="inlineStr">
        <is>
          <t xml:space="preserve">Perşembe</t>
        </is>
      </c>
      <c r="D355" s="3" t="inlineStr">
        <is>
          <t xml:space="preserve">CMPE421</t>
        </is>
      </c>
      <c r="E355" s="3" t="inlineStr">
        <is>
          <t xml:space="preserve">Ext</t>
        </is>
      </c>
      <c r="F355" s="3" t="inlineStr">
        <is>
          <t xml:space="preserve">P3</t>
        </is>
      </c>
      <c r="G355" s="6">
        <v>8</v>
      </c>
      <c r="H355" s="2" t="inlineStr">
        <is>
          <t xml:space="preserve">Tekrar (kapalı kitap aktif hatırlama, konu başına ~8 dk): Neural networks and deep learning (D+7)</t>
        </is>
      </c>
      <c r="I355" s="2"/>
      <c r="J355" s="7" t="inlineStr">
        <is>
          <t xml:space="preserve">Not Started</t>
        </is>
      </c>
      <c r="K355" s="7"/>
      <c r="L355" s="3"/>
    </row>
    <row r="356">
      <c r="A356" s="2" t="inlineStr">
        <is>
          <t xml:space="preserve">2026-12-11-01</t>
        </is>
      </c>
      <c r="B356" s="4">
        <v>46367</v>
      </c>
      <c r="C356" s="3" t="inlineStr">
        <is>
          <t xml:space="preserve">Cuma</t>
        </is>
      </c>
      <c r="D356" s="3" t="inlineStr">
        <is>
          <t xml:space="preserve">CMPE371</t>
        </is>
      </c>
      <c r="E356" s="3" t="inlineStr">
        <is>
          <t xml:space="preserve">Min</t>
        </is>
      </c>
      <c r="F356" s="3" t="inlineStr">
        <is>
          <t xml:space="preserve">P2</t>
        </is>
      </c>
      <c r="G356" s="6">
        <v>90</v>
      </c>
      <c r="H356" s="2" t="inlineStr">
        <is>
          <t xml:space="preserve">Sampling — örnekleme teoremi, aliasing, yeniden oluşturma. ▸ 6 problem (Nyquist, aliasing)</t>
        </is>
      </c>
      <c r="I356" s="2" t="inlineStr">
        <is>
          <t xml:space="preserve">Hoca slaytı + ders kitabı (syllabus'ta belirtilmemiş: Materyal bekleniyor) — Materyal bekleniyor</t>
        </is>
      </c>
      <c r="J356" s="7" t="inlineStr">
        <is>
          <t xml:space="preserve">Not Started</t>
        </is>
      </c>
      <c r="K356" s="7"/>
      <c r="L356" s="3"/>
    </row>
    <row r="357">
      <c r="A357" s="2" t="inlineStr">
        <is>
          <t xml:space="preserve">2026-12-11-02</t>
        </is>
      </c>
      <c r="B357" s="4">
        <v>46367</v>
      </c>
      <c r="C357" s="3" t="inlineStr">
        <is>
          <t xml:space="preserve">Cuma</t>
        </is>
      </c>
      <c r="D357" s="3" t="inlineStr">
        <is>
          <t xml:space="preserve">CMPE327</t>
        </is>
      </c>
      <c r="E357" s="3" t="inlineStr">
        <is>
          <t xml:space="preserve">Min</t>
        </is>
      </c>
      <c r="F357" s="3" t="inlineStr">
        <is>
          <t xml:space="preserve">P1</t>
        </is>
      </c>
      <c r="G357" s="6">
        <v>90</v>
      </c>
      <c r="H357" s="2" t="inlineStr">
        <is>
          <t xml:space="preserve">Turing machines — TM tanımı, tasarım, konfigürasyon izleme. ▸ 5 TM tasarla/izle</t>
        </is>
      </c>
      <c r="I357" s="2" t="inlineStr">
        <is>
          <t xml:space="preserve">Hoca slaytı + ders kitabı (syllabus'ta belirtilmemiş: Materyal bekleniyor) — Materyal bekleniyor</t>
        </is>
      </c>
      <c r="J357" s="7" t="inlineStr">
        <is>
          <t xml:space="preserve">Not Started</t>
        </is>
      </c>
      <c r="K357" s="7"/>
      <c r="L357" s="3"/>
    </row>
    <row r="358">
      <c r="A358" s="2" t="inlineStr">
        <is>
          <t xml:space="preserve">2026-12-11-03</t>
        </is>
      </c>
      <c r="B358" s="4">
        <v>46367</v>
      </c>
      <c r="C358" s="3" t="inlineStr">
        <is>
          <t xml:space="preserve">Cuma</t>
        </is>
      </c>
      <c r="D358" s="3" t="inlineStr">
        <is>
          <t xml:space="preserve">CMPE421</t>
        </is>
      </c>
      <c r="E358" s="3" t="inlineStr">
        <is>
          <t xml:space="preserve">Min</t>
        </is>
      </c>
      <c r="F358" s="3" t="inlineStr">
        <is>
          <t xml:space="preserve">P3</t>
        </is>
      </c>
      <c r="G358" s="6">
        <v>8</v>
      </c>
      <c r="H358" s="2" t="inlineStr">
        <is>
          <t xml:space="preserve">Tekrar (kapalı kitap aktif hatırlama, konu başına ~8 dk): Ethics, explainability, responsible AI (D+1)</t>
        </is>
      </c>
      <c r="I358" s="2"/>
      <c r="J358" s="7" t="inlineStr">
        <is>
          <t xml:space="preserve">Not Started</t>
        </is>
      </c>
      <c r="K358" s="7"/>
      <c r="L358" s="3"/>
    </row>
    <row r="359">
      <c r="A359" s="2" t="inlineStr">
        <is>
          <t xml:space="preserve">2026-12-11-04</t>
        </is>
      </c>
      <c r="B359" s="4">
        <v>46367</v>
      </c>
      <c r="C359" s="3" t="inlineStr">
        <is>
          <t xml:space="preserve">Cuma</t>
        </is>
      </c>
      <c r="D359" s="3" t="inlineStr">
        <is>
          <t xml:space="preserve">CMPE453</t>
        </is>
      </c>
      <c r="E359" s="3" t="inlineStr">
        <is>
          <t xml:space="preserve">Min</t>
        </is>
      </c>
      <c r="F359" s="3" t="inlineStr">
        <is>
          <t xml:space="preserve">P3</t>
        </is>
      </c>
      <c r="G359" s="6">
        <v>8</v>
      </c>
      <c r="H359" s="2" t="inlineStr">
        <is>
          <t xml:space="preserve">Tekrar (kapalı kitap aktif hatırlama, konu başına ~8 dk): PWM for ARM Cortex (D+1)</t>
        </is>
      </c>
      <c r="I359" s="2"/>
      <c r="J359" s="7" t="inlineStr">
        <is>
          <t xml:space="preserve">Not Started</t>
        </is>
      </c>
      <c r="K359" s="7"/>
      <c r="L359" s="3"/>
    </row>
    <row r="360">
      <c r="A360" s="2" t="inlineStr">
        <is>
          <t xml:space="preserve">2026-12-11-05</t>
        </is>
      </c>
      <c r="B360" s="4">
        <v>46367</v>
      </c>
      <c r="C360" s="3" t="inlineStr">
        <is>
          <t xml:space="preserve">Cuma</t>
        </is>
      </c>
      <c r="D360" s="3" t="inlineStr">
        <is>
          <t xml:space="preserve">CMPE327</t>
        </is>
      </c>
      <c r="E360" s="3" t="inlineStr">
        <is>
          <t xml:space="preserve">Ext</t>
        </is>
      </c>
      <c r="F360" s="3" t="inlineStr">
        <is>
          <t xml:space="preserve">P2</t>
        </is>
      </c>
      <c r="G360" s="6">
        <v>8</v>
      </c>
      <c r="H360" s="2" t="inlineStr">
        <is>
          <t xml:space="preserve">Tekrar (kapalı kitap aktif hatırlama, konu başına ~8 dk): Pushdown automata (D+7)</t>
        </is>
      </c>
      <c r="I360" s="2"/>
      <c r="J360" s="7" t="inlineStr">
        <is>
          <t xml:space="preserve">Not Started</t>
        </is>
      </c>
      <c r="K360" s="7"/>
      <c r="L360" s="3"/>
    </row>
    <row r="361">
      <c r="A361" s="2" t="inlineStr">
        <is>
          <t xml:space="preserve">2026-12-11-06</t>
        </is>
      </c>
      <c r="B361" s="4">
        <v>46367</v>
      </c>
      <c r="C361" s="3" t="inlineStr">
        <is>
          <t xml:space="preserve">Cuma</t>
        </is>
      </c>
      <c r="D361" s="3" t="inlineStr">
        <is>
          <t xml:space="preserve">CMPE453</t>
        </is>
      </c>
      <c r="E361" s="3" t="inlineStr">
        <is>
          <t xml:space="preserve">Ext</t>
        </is>
      </c>
      <c r="F361" s="3" t="inlineStr">
        <is>
          <t xml:space="preserve">P3</t>
        </is>
      </c>
      <c r="G361" s="6">
        <v>8</v>
      </c>
      <c r="H361" s="2" t="inlineStr">
        <is>
          <t xml:space="preserve">Tekrar (kapalı kitap aktif hatırlama, konu başına ~8 dk): PWM (AVR) (D+14)</t>
        </is>
      </c>
      <c r="I361" s="2"/>
      <c r="J361" s="7" t="inlineStr">
        <is>
          <t xml:space="preserve">Not Started</t>
        </is>
      </c>
      <c r="K361" s="7"/>
      <c r="L361" s="3"/>
    </row>
    <row r="362">
      <c r="A362" s="2" t="inlineStr">
        <is>
          <t xml:space="preserve">2026-12-12-01</t>
        </is>
      </c>
      <c r="B362" s="4">
        <v>46368</v>
      </c>
      <c r="C362" s="3" t="inlineStr">
        <is>
          <t xml:space="preserve">Cumartesi</t>
        </is>
      </c>
      <c r="D362" s="3" t="inlineStr">
        <is>
          <t xml:space="preserve">CMPE327</t>
        </is>
      </c>
      <c r="E362" s="3" t="inlineStr">
        <is>
          <t xml:space="preserve">Min</t>
        </is>
      </c>
      <c r="F362" s="3" t="inlineStr">
        <is>
          <t xml:space="preserve">P1</t>
        </is>
      </c>
      <c r="G362" s="6">
        <v>60</v>
      </c>
      <c r="H362" s="2" t="inlineStr">
        <is>
          <t xml:space="preserve">Decision problems — karar verilebilirlik, tanınabilir diller, temel problemler. ▸ kavram soruları + 4 örnek</t>
        </is>
      </c>
      <c r="I362" s="2" t="inlineStr">
        <is>
          <t xml:space="preserve">Hoca slaytı + ders kitabı (syllabus'ta belirtilmemiş: Materyal bekleniyor) — Materyal bekleniyor</t>
        </is>
      </c>
      <c r="J362" s="7" t="inlineStr">
        <is>
          <t xml:space="preserve">Not Started</t>
        </is>
      </c>
      <c r="K362" s="7"/>
      <c r="L362" s="3"/>
    </row>
    <row r="363">
      <c r="A363" s="2" t="inlineStr">
        <is>
          <t xml:space="preserve">2026-12-12-02</t>
        </is>
      </c>
      <c r="B363" s="4">
        <v>46368</v>
      </c>
      <c r="C363" s="3" t="inlineStr">
        <is>
          <t xml:space="preserve">Cumartesi</t>
        </is>
      </c>
      <c r="D363" s="3" t="inlineStr">
        <is>
          <t xml:space="preserve">CMPE327</t>
        </is>
      </c>
      <c r="E363" s="3" t="inlineStr">
        <is>
          <t xml:space="preserve">Min</t>
        </is>
      </c>
      <c r="F363" s="3" t="inlineStr">
        <is>
          <t xml:space="preserve">P2</t>
        </is>
      </c>
      <c r="G363" s="6">
        <v>8</v>
      </c>
      <c r="H363" s="2" t="inlineStr">
        <is>
          <t xml:space="preserve">Tekrar (kapalı kitap aktif hatırlama, konu başına ~8 dk): Turing machines (D+1)</t>
        </is>
      </c>
      <c r="I363" s="2"/>
      <c r="J363" s="7" t="inlineStr">
        <is>
          <t xml:space="preserve">Not Started</t>
        </is>
      </c>
      <c r="K363" s="7"/>
      <c r="L363" s="3"/>
    </row>
    <row r="364">
      <c r="A364" s="2" t="inlineStr">
        <is>
          <t xml:space="preserve">2026-12-12-03</t>
        </is>
      </c>
      <c r="B364" s="4">
        <v>46368</v>
      </c>
      <c r="C364" s="3" t="inlineStr">
        <is>
          <t xml:space="preserve">Cumartesi</t>
        </is>
      </c>
      <c r="D364" s="3" t="inlineStr">
        <is>
          <t xml:space="preserve">CMPE371</t>
        </is>
      </c>
      <c r="E364" s="3" t="inlineStr">
        <is>
          <t xml:space="preserve">Min</t>
        </is>
      </c>
      <c r="F364" s="3" t="inlineStr">
        <is>
          <t xml:space="preserve">P3</t>
        </is>
      </c>
      <c r="G364" s="6">
        <v>8</v>
      </c>
      <c r="H364" s="2" t="inlineStr">
        <is>
          <t xml:space="preserve">Tekrar (kapalı kitap aktif hatırlama, konu başına ~8 dk): Sampling (D+1)</t>
        </is>
      </c>
      <c r="I364" s="2"/>
      <c r="J364" s="7" t="inlineStr">
        <is>
          <t xml:space="preserve">Not Started</t>
        </is>
      </c>
      <c r="K364" s="7"/>
      <c r="L364" s="3"/>
    </row>
    <row r="365">
      <c r="A365" s="2" t="inlineStr">
        <is>
          <t xml:space="preserve">2026-12-12-04</t>
        </is>
      </c>
      <c r="B365" s="4">
        <v>46368</v>
      </c>
      <c r="C365" s="3" t="inlineStr">
        <is>
          <t xml:space="preserve">Cumartesi</t>
        </is>
      </c>
      <c r="D365" s="3" t="inlineStr">
        <is>
          <t xml:space="preserve">CMPE327</t>
        </is>
      </c>
      <c r="E365" s="3" t="inlineStr">
        <is>
          <t xml:space="preserve">Ext</t>
        </is>
      </c>
      <c r="F365" s="3" t="inlineStr">
        <is>
          <t xml:space="preserve">P2</t>
        </is>
      </c>
      <c r="G365" s="6">
        <v>8</v>
      </c>
      <c r="H365" s="2" t="inlineStr">
        <is>
          <t xml:space="preserve">Tekrar (kapalı kitap aktif hatırlama, konu başına ~8 dk): Chomsky Normal Form (D+14)</t>
        </is>
      </c>
      <c r="I365" s="2"/>
      <c r="J365" s="7" t="inlineStr">
        <is>
          <t xml:space="preserve">Not Started</t>
        </is>
      </c>
      <c r="K365" s="7"/>
      <c r="L365" s="3"/>
    </row>
    <row r="366">
      <c r="A366" s="2" t="inlineStr">
        <is>
          <t xml:space="preserve">2026-12-12-05</t>
        </is>
      </c>
      <c r="B366" s="4">
        <v>46368</v>
      </c>
      <c r="C366" s="3" t="inlineStr">
        <is>
          <t xml:space="preserve">Cumartesi</t>
        </is>
      </c>
      <c r="D366" s="3" t="inlineStr">
        <is>
          <t xml:space="preserve">CMPE371</t>
        </is>
      </c>
      <c r="E366" s="3" t="inlineStr">
        <is>
          <t xml:space="preserve">Ext</t>
        </is>
      </c>
      <c r="F366" s="3" t="inlineStr">
        <is>
          <t xml:space="preserve">P3</t>
        </is>
      </c>
      <c r="G366" s="6">
        <v>8</v>
      </c>
      <c r="H366" s="2" t="inlineStr">
        <is>
          <t xml:space="preserve">Tekrar (kapalı kitap aktif hatırlama, konu başına ~8 dk): DTFS (D+14)</t>
        </is>
      </c>
      <c r="I366" s="2"/>
      <c r="J366" s="7" t="inlineStr">
        <is>
          <t xml:space="preserve">Not Started</t>
        </is>
      </c>
      <c r="K366" s="7"/>
      <c r="L366" s="3"/>
    </row>
    <row r="367">
      <c r="A367" s="2" t="inlineStr">
        <is>
          <t xml:space="preserve">2026-12-13-01</t>
        </is>
      </c>
      <c r="B367" s="4">
        <v>46369</v>
      </c>
      <c r="C367" s="3" t="inlineStr">
        <is>
          <t xml:space="preserve">Pazar</t>
        </is>
      </c>
      <c r="D367" s="3" t="inlineStr">
        <is>
          <t xml:space="preserve">CMPE371</t>
        </is>
      </c>
      <c r="E367" s="3" t="inlineStr">
        <is>
          <t xml:space="preserve">Min</t>
        </is>
      </c>
      <c r="F367" s="3" t="inlineStr">
        <is>
          <t xml:space="preserve">P2</t>
        </is>
      </c>
      <c r="G367" s="6">
        <v>100</v>
      </c>
      <c r="H367" s="2" t="inlineStr">
        <is>
          <t xml:space="preserve">Z-Transform — tanım, ROC, çiftler, ters Z, fark denklemi çözümü. ▸ 6 dönüşüm + 4 ters Z</t>
        </is>
      </c>
      <c r="I367" s="2" t="inlineStr">
        <is>
          <t xml:space="preserve">Hoca slaytı + ders kitabı (syllabus'ta belirtilmemiş: Materyal bekleniyor) — Materyal bekleniyor</t>
        </is>
      </c>
      <c r="J367" s="7" t="inlineStr">
        <is>
          <t xml:space="preserve">Not Started</t>
        </is>
      </c>
      <c r="K367" s="7"/>
      <c r="L367" s="3"/>
    </row>
    <row r="368">
      <c r="A368" s="2" t="inlineStr">
        <is>
          <t xml:space="preserve">2026-12-13-02</t>
        </is>
      </c>
      <c r="B368" s="4">
        <v>46369</v>
      </c>
      <c r="C368" s="3" t="inlineStr">
        <is>
          <t xml:space="preserve">Pazar</t>
        </is>
      </c>
      <c r="D368" s="3" t="inlineStr">
        <is>
          <t xml:space="preserve">CMPE327</t>
        </is>
      </c>
      <c r="E368" s="3" t="inlineStr">
        <is>
          <t xml:space="preserve">Min</t>
        </is>
      </c>
      <c r="F368" s="3" t="inlineStr">
        <is>
          <t xml:space="preserve">P2</t>
        </is>
      </c>
      <c r="G368" s="6">
        <v>8</v>
      </c>
      <c r="H368" s="2" t="inlineStr">
        <is>
          <t xml:space="preserve">Tekrar (kapalı kitap aktif hatırlama, konu başına ~8 dk): Decision problems (D+1)</t>
        </is>
      </c>
      <c r="I368" s="2"/>
      <c r="J368" s="7" t="inlineStr">
        <is>
          <t xml:space="preserve">Not Started</t>
        </is>
      </c>
      <c r="K368" s="7"/>
      <c r="L368" s="3"/>
    </row>
    <row r="369">
      <c r="A369" s="2" t="inlineStr">
        <is>
          <t xml:space="preserve">2026-12-13-03</t>
        </is>
      </c>
      <c r="B369" s="4">
        <v>46369</v>
      </c>
      <c r="C369" s="3" t="inlineStr">
        <is>
          <t xml:space="preserve">Pazar</t>
        </is>
      </c>
      <c r="D369" s="3" t="inlineStr">
        <is>
          <t xml:space="preserve">CMPE421</t>
        </is>
      </c>
      <c r="E369" s="3" t="inlineStr">
        <is>
          <t xml:space="preserve">Min</t>
        </is>
      </c>
      <c r="F369" s="3" t="inlineStr">
        <is>
          <t xml:space="preserve">P3</t>
        </is>
      </c>
      <c r="G369" s="6">
        <v>8</v>
      </c>
      <c r="H369" s="2" t="inlineStr">
        <is>
          <t xml:space="preserve">Tekrar (kapalı kitap aktif hatırlama, konu başına ~8 dk): Ethics, explainability, responsible AI (D+3)</t>
        </is>
      </c>
      <c r="I369" s="2"/>
      <c r="J369" s="7" t="inlineStr">
        <is>
          <t xml:space="preserve">Not Started</t>
        </is>
      </c>
      <c r="K369" s="7"/>
      <c r="L369" s="3"/>
    </row>
    <row r="370">
      <c r="A370" s="2" t="inlineStr">
        <is>
          <t xml:space="preserve">2026-12-13-04</t>
        </is>
      </c>
      <c r="B370" s="4">
        <v>46369</v>
      </c>
      <c r="C370" s="3" t="inlineStr">
        <is>
          <t xml:space="preserve">Pazar</t>
        </is>
      </c>
      <c r="D370" s="3" t="inlineStr">
        <is>
          <t xml:space="preserve">CMPE453</t>
        </is>
      </c>
      <c r="E370" s="3" t="inlineStr">
        <is>
          <t xml:space="preserve">Min</t>
        </is>
      </c>
      <c r="F370" s="3" t="inlineStr">
        <is>
          <t xml:space="preserve">P3</t>
        </is>
      </c>
      <c r="G370" s="6">
        <v>8</v>
      </c>
      <c r="H370" s="2" t="inlineStr">
        <is>
          <t xml:space="preserve">Tekrar (kapalı kitap aktif hatırlama, konu başına ~8 dk): PWM for ARM Cortex (D+3)</t>
        </is>
      </c>
      <c r="I370" s="2"/>
      <c r="J370" s="7" t="inlineStr">
        <is>
          <t xml:space="preserve">Not Started</t>
        </is>
      </c>
      <c r="K370" s="7"/>
      <c r="L370" s="3"/>
    </row>
    <row r="371">
      <c r="A371" s="2" t="inlineStr">
        <is>
          <t xml:space="preserve">2026-12-13-05</t>
        </is>
      </c>
      <c r="B371" s="4">
        <v>46369</v>
      </c>
      <c r="C371" s="3" t="inlineStr">
        <is>
          <t xml:space="preserve">Pazar</t>
        </is>
      </c>
      <c r="D371" s="3" t="inlineStr">
        <is>
          <t xml:space="preserve">CMPE327</t>
        </is>
      </c>
      <c r="E371" s="3" t="inlineStr">
        <is>
          <t xml:space="preserve">Ext</t>
        </is>
      </c>
      <c r="F371" s="3" t="inlineStr">
        <is>
          <t xml:space="preserve">P2</t>
        </is>
      </c>
      <c r="G371" s="6">
        <v>16</v>
      </c>
      <c r="H371" s="2" t="inlineStr">
        <is>
          <t xml:space="preserve">Tekrar (kapalı kitap aktif hatırlama, konu başına ~8 dk): Ogden's lemma (D+7); CYK algoritması (D+14)</t>
        </is>
      </c>
      <c r="I371" s="2"/>
      <c r="J371" s="7" t="inlineStr">
        <is>
          <t xml:space="preserve">Not Started</t>
        </is>
      </c>
      <c r="K371" s="7"/>
      <c r="L371" s="3"/>
    </row>
    <row r="372">
      <c r="A372" s="2" t="inlineStr">
        <is>
          <t xml:space="preserve">2026-12-13-06</t>
        </is>
      </c>
      <c r="B372" s="4">
        <v>46369</v>
      </c>
      <c r="C372" s="3" t="inlineStr">
        <is>
          <t xml:space="preserve">Pazar</t>
        </is>
      </c>
      <c r="D372" s="3" t="inlineStr">
        <is>
          <t xml:space="preserve">CMPE421</t>
        </is>
      </c>
      <c r="E372" s="3" t="inlineStr">
        <is>
          <t xml:space="preserve">Ext</t>
        </is>
      </c>
      <c r="F372" s="3" t="inlineStr">
        <is>
          <t xml:space="preserve">P3</t>
        </is>
      </c>
      <c r="G372" s="6">
        <v>16</v>
      </c>
      <c r="H372" s="2" t="inlineStr">
        <is>
          <t xml:space="preserve">Tekrar (kapalı kitap aktif hatırlama, konu başına ~8 dk): NLP and LLMs (D+7); ML fundamentals (D+14)</t>
        </is>
      </c>
      <c r="I372" s="2"/>
      <c r="J372" s="7" t="inlineStr">
        <is>
          <t xml:space="preserve">Not Started</t>
        </is>
      </c>
      <c r="K372" s="7"/>
      <c r="L372" s="3"/>
    </row>
    <row r="373">
      <c r="A373" s="2" t="inlineStr">
        <is>
          <t xml:space="preserve">2026-12-13-07</t>
        </is>
      </c>
      <c r="B373" s="4">
        <v>46369</v>
      </c>
      <c r="C373" s="3" t="inlineStr">
        <is>
          <t xml:space="preserve">Pazar</t>
        </is>
      </c>
      <c r="D373" s="3" t="inlineStr">
        <is>
          <t xml:space="preserve">CMPE453</t>
        </is>
      </c>
      <c r="E373" s="3" t="inlineStr">
        <is>
          <t xml:space="preserve">Ext</t>
        </is>
      </c>
      <c r="F373" s="3" t="inlineStr">
        <is>
          <t xml:space="preserve">P3</t>
        </is>
      </c>
      <c r="G373" s="6">
        <v>8</v>
      </c>
      <c r="H373" s="2" t="inlineStr">
        <is>
          <t xml:space="preserve">Tekrar (kapalı kitap aktif hatırlama, konu başına ~8 dk): STM32 GPIO + LED (D+7)</t>
        </is>
      </c>
      <c r="I373" s="2"/>
      <c r="J373" s="7" t="inlineStr">
        <is>
          <t xml:space="preserve">Not Started</t>
        </is>
      </c>
      <c r="K373" s="7"/>
      <c r="L373" s="3"/>
    </row>
    <row r="374">
      <c r="A374" s="2" t="inlineStr">
        <is>
          <t xml:space="preserve">2026-12-13-08</t>
        </is>
      </c>
      <c r="B374" s="4">
        <v>46369</v>
      </c>
      <c r="C374" s="3" t="inlineStr">
        <is>
          <t xml:space="preserve">Pazar</t>
        </is>
      </c>
      <c r="D374" s="3" t="inlineStr">
        <is>
          <t xml:space="preserve">CMPE371</t>
        </is>
      </c>
      <c r="E374" s="3" t="inlineStr">
        <is>
          <t xml:space="preserve">Ext</t>
        </is>
      </c>
      <c r="F374" s="3" t="inlineStr">
        <is>
          <t xml:space="preserve">P3</t>
        </is>
      </c>
      <c r="G374" s="6">
        <v>16</v>
      </c>
      <c r="H374" s="2" t="inlineStr">
        <is>
          <t xml:space="preserve">Tekrar (kapalı kitap aktif hatırlama, konu başına ~8 dk): Filtering (D+7); DTFT (D+14)</t>
        </is>
      </c>
      <c r="I374" s="2"/>
      <c r="J374" s="7" t="inlineStr">
        <is>
          <t xml:space="preserve">Not Started</t>
        </is>
      </c>
      <c r="K374" s="7"/>
      <c r="L374" s="3"/>
    </row>
    <row r="375">
      <c r="A375" s="2" t="inlineStr">
        <is>
          <t xml:space="preserve">2026-12-13-09</t>
        </is>
      </c>
      <c r="B375" s="4">
        <v>46369</v>
      </c>
      <c r="C375" s="3" t="inlineStr">
        <is>
          <t xml:space="preserve">Pazar</t>
        </is>
      </c>
      <c r="D375" s="3" t="inlineStr">
        <is>
          <t xml:space="preserve">BIO110</t>
        </is>
      </c>
      <c r="E375" s="3" t="inlineStr">
        <is>
          <t xml:space="preserve">Ext</t>
        </is>
      </c>
      <c r="F375" s="3" t="inlineStr">
        <is>
          <t xml:space="preserve">P3</t>
        </is>
      </c>
      <c r="G375" s="6">
        <v>8</v>
      </c>
      <c r="H375" s="2" t="inlineStr">
        <is>
          <t xml:space="preserve">Tekrar (kapalı kitap aktif hatırlama, konu başına ~8 dk): Descent with Modification (D+14)</t>
        </is>
      </c>
      <c r="I375" s="2"/>
      <c r="J375" s="7" t="inlineStr">
        <is>
          <t xml:space="preserve">Not Started</t>
        </is>
      </c>
      <c r="K375" s="7"/>
      <c r="L375" s="3"/>
    </row>
    <row r="376">
      <c r="A376" s="2" t="inlineStr">
        <is>
          <t xml:space="preserve">2026-12-14-01</t>
        </is>
      </c>
      <c r="B376" s="4">
        <v>46370</v>
      </c>
      <c r="C376" s="3" t="inlineStr">
        <is>
          <t xml:space="preserve">Pazartesi</t>
        </is>
      </c>
      <c r="D376" s="3" t="inlineStr">
        <is>
          <t xml:space="preserve">CMPE421</t>
        </is>
      </c>
      <c r="E376" s="3" t="inlineStr">
        <is>
          <t xml:space="preserve">Min</t>
        </is>
      </c>
      <c r="F376" s="3" t="inlineStr">
        <is>
          <t xml:space="preserve">P3</t>
        </is>
      </c>
      <c r="G376" s="6">
        <v>90</v>
      </c>
      <c r="H376" s="2" t="inlineStr">
        <is>
          <t xml:space="preserve">Final: konu haritası + zayıf alanlar — tüm syllabus konularını işaretle: güçlü/orta/zayıf (Topic Mastery). ▸ Zayıf konuları sırala</t>
        </is>
      </c>
      <c r="I376" s="2"/>
      <c r="J376" s="7" t="inlineStr">
        <is>
          <t xml:space="preserve">Not Started</t>
        </is>
      </c>
      <c r="K376" s="7"/>
      <c r="L376" s="3"/>
    </row>
    <row r="377">
      <c r="A377" s="2" t="inlineStr">
        <is>
          <t xml:space="preserve">2026-12-14-02</t>
        </is>
      </c>
      <c r="B377" s="4">
        <v>46370</v>
      </c>
      <c r="C377" s="3" t="inlineStr">
        <is>
          <t xml:space="preserve">Pazartesi</t>
        </is>
      </c>
      <c r="D377" s="3" t="inlineStr">
        <is>
          <t xml:space="preserve">CMPE327</t>
        </is>
      </c>
      <c r="E377" s="3" t="inlineStr">
        <is>
          <t xml:space="preserve">Min</t>
        </is>
      </c>
      <c r="F377" s="3" t="inlineStr">
        <is>
          <t xml:space="preserve">P1</t>
        </is>
      </c>
      <c r="G377" s="6">
        <v>90</v>
      </c>
      <c r="H377" s="2" t="inlineStr">
        <is>
          <t xml:space="preserve">Final: konu haritası + zayıf alanlar — tüm syllabus konularını işaretle: güçlü/orta/zayıf (Topic Mastery). ▸ Zayıf konuları sırala</t>
        </is>
      </c>
      <c r="I377" s="2"/>
      <c r="J377" s="7" t="inlineStr">
        <is>
          <t xml:space="preserve">Not Started</t>
        </is>
      </c>
      <c r="K377" s="7"/>
      <c r="L377" s="3"/>
    </row>
    <row r="378">
      <c r="A378" s="2" t="inlineStr">
        <is>
          <t xml:space="preserve">2026-12-14-03</t>
        </is>
      </c>
      <c r="B378" s="4">
        <v>46370</v>
      </c>
      <c r="C378" s="3" t="inlineStr">
        <is>
          <t xml:space="preserve">Pazartesi</t>
        </is>
      </c>
      <c r="D378" s="3" t="inlineStr">
        <is>
          <t xml:space="preserve">CMPE371</t>
        </is>
      </c>
      <c r="E378" s="3" t="inlineStr">
        <is>
          <t xml:space="preserve">Min</t>
        </is>
      </c>
      <c r="F378" s="3" t="inlineStr">
        <is>
          <t xml:space="preserve">P3</t>
        </is>
      </c>
      <c r="G378" s="6">
        <v>16</v>
      </c>
      <c r="H378" s="2" t="inlineStr">
        <is>
          <t xml:space="preserve">Tekrar (kapalı kitap aktif hatırlama, konu başına ~8 dk): Z-Transform (D+1); Sampling (D+3)</t>
        </is>
      </c>
      <c r="I378" s="2"/>
      <c r="J378" s="7" t="inlineStr">
        <is>
          <t xml:space="preserve">Not Started</t>
        </is>
      </c>
      <c r="K378" s="7"/>
      <c r="L378" s="3"/>
    </row>
    <row r="379">
      <c r="A379" s="2" t="inlineStr">
        <is>
          <t xml:space="preserve">2026-12-14-04</t>
        </is>
      </c>
      <c r="B379" s="4">
        <v>46370</v>
      </c>
      <c r="C379" s="3" t="inlineStr">
        <is>
          <t xml:space="preserve">Pazartesi</t>
        </is>
      </c>
      <c r="D379" s="3" t="inlineStr">
        <is>
          <t xml:space="preserve">CMPE327</t>
        </is>
      </c>
      <c r="E379" s="3" t="inlineStr">
        <is>
          <t xml:space="preserve">Min</t>
        </is>
      </c>
      <c r="F379" s="3" t="inlineStr">
        <is>
          <t xml:space="preserve">P2</t>
        </is>
      </c>
      <c r="G379" s="6">
        <v>8</v>
      </c>
      <c r="H379" s="2" t="inlineStr">
        <is>
          <t xml:space="preserve">Tekrar (kapalı kitap aktif hatırlama, konu başına ~8 dk): Turing machines (D+3)</t>
        </is>
      </c>
      <c r="I379" s="2"/>
      <c r="J379" s="7" t="inlineStr">
        <is>
          <t xml:space="preserve">Not Started</t>
        </is>
      </c>
      <c r="K379" s="7"/>
      <c r="L379" s="3"/>
    </row>
    <row r="380">
      <c r="A380" s="2" t="inlineStr">
        <is>
          <t xml:space="preserve">2026-12-14-05</t>
        </is>
      </c>
      <c r="B380" s="4">
        <v>46370</v>
      </c>
      <c r="C380" s="3" t="inlineStr">
        <is>
          <t xml:space="preserve">Pazartesi</t>
        </is>
      </c>
      <c r="D380" s="3" t="inlineStr">
        <is>
          <t xml:space="preserve">CMPE421</t>
        </is>
      </c>
      <c r="E380" s="3" t="inlineStr">
        <is>
          <t xml:space="preserve">Ext</t>
        </is>
      </c>
      <c r="F380" s="3" t="inlineStr">
        <is>
          <t xml:space="preserve">P3</t>
        </is>
      </c>
      <c r="G380" s="6">
        <v>16</v>
      </c>
      <c r="H380" s="2" t="inlineStr">
        <is>
          <t xml:space="preserve">Tekrar (kapalı kitap aktif hatırlama, konu başına ~8 dk): Reinforcement learning (D+7); Classification and regression (D+14)</t>
        </is>
      </c>
      <c r="I380" s="2"/>
      <c r="J380" s="7" t="inlineStr">
        <is>
          <t xml:space="preserve">Not Started</t>
        </is>
      </c>
      <c r="K380" s="7"/>
      <c r="L380" s="3"/>
    </row>
    <row r="381">
      <c r="A381" s="2" t="inlineStr">
        <is>
          <t xml:space="preserve">2026-12-15-01</t>
        </is>
      </c>
      <c r="B381" s="4">
        <v>46371</v>
      </c>
      <c r="C381" s="3" t="inlineStr">
        <is>
          <t xml:space="preserve">Salı</t>
        </is>
      </c>
      <c r="D381" s="3" t="inlineStr">
        <is>
          <t xml:space="preserve">BIO110</t>
        </is>
      </c>
      <c r="E381" s="3" t="inlineStr">
        <is>
          <t xml:space="preserve">Min</t>
        </is>
      </c>
      <c r="F381" s="3" t="inlineStr">
        <is>
          <t xml:space="preserve">P3</t>
        </is>
      </c>
      <c r="G381" s="6">
        <v>90</v>
      </c>
      <c r="H381" s="2" t="inlineStr">
        <is>
          <t xml:space="preserve">Final: konu haritası + zayıf alanlar — tüm syllabus konularını işaretle: güçlü/orta/zayıf (Topic Mastery). ▸ Zayıf konuları sırala</t>
        </is>
      </c>
      <c r="I381" s="2"/>
      <c r="J381" s="7" t="inlineStr">
        <is>
          <t xml:space="preserve">Not Started</t>
        </is>
      </c>
      <c r="K381" s="7"/>
      <c r="L381" s="3"/>
    </row>
    <row r="382">
      <c r="A382" s="2" t="inlineStr">
        <is>
          <t xml:space="preserve">2026-12-15-02</t>
        </is>
      </c>
      <c r="B382" s="4">
        <v>46371</v>
      </c>
      <c r="C382" s="3" t="inlineStr">
        <is>
          <t xml:space="preserve">Salı</t>
        </is>
      </c>
      <c r="D382" s="3" t="inlineStr">
        <is>
          <t xml:space="preserve">CMPE453</t>
        </is>
      </c>
      <c r="E382" s="3" t="inlineStr">
        <is>
          <t xml:space="preserve">Min</t>
        </is>
      </c>
      <c r="F382" s="3" t="inlineStr">
        <is>
          <t xml:space="preserve">P2</t>
        </is>
      </c>
      <c r="G382" s="6">
        <v>90</v>
      </c>
      <c r="H382" s="2" t="inlineStr">
        <is>
          <t xml:space="preserve">Final: konu haritası + zayıf alanlar — tüm syllabus konularını işaretle: güçlü/orta/zayıf (Topic Mastery). ▸ Zayıf konuları sırala</t>
        </is>
      </c>
      <c r="I382" s="2"/>
      <c r="J382" s="7" t="inlineStr">
        <is>
          <t xml:space="preserve">Not Started</t>
        </is>
      </c>
      <c r="K382" s="7"/>
      <c r="L382" s="3"/>
    </row>
    <row r="383">
      <c r="A383" s="2" t="inlineStr">
        <is>
          <t xml:space="preserve">2026-12-15-03</t>
        </is>
      </c>
      <c r="B383" s="4">
        <v>46371</v>
      </c>
      <c r="C383" s="3" t="inlineStr">
        <is>
          <t xml:space="preserve">Salı</t>
        </is>
      </c>
      <c r="D383" s="3" t="inlineStr">
        <is>
          <t xml:space="preserve">CMPE327</t>
        </is>
      </c>
      <c r="E383" s="3" t="inlineStr">
        <is>
          <t xml:space="preserve">Min</t>
        </is>
      </c>
      <c r="F383" s="3" t="inlineStr">
        <is>
          <t xml:space="preserve">P3</t>
        </is>
      </c>
      <c r="G383" s="6">
        <v>8</v>
      </c>
      <c r="H383" s="2" t="inlineStr">
        <is>
          <t xml:space="preserve">Tekrar (kapalı kitap aktif hatırlama, konu başına ~8 dk): Decision problems (D+3)</t>
        </is>
      </c>
      <c r="I383" s="2"/>
      <c r="J383" s="7" t="inlineStr">
        <is>
          <t xml:space="preserve">Not Started</t>
        </is>
      </c>
      <c r="K383" s="7"/>
      <c r="L383" s="3"/>
    </row>
    <row r="384">
      <c r="A384" s="2" t="inlineStr">
        <is>
          <t xml:space="preserve">2026-12-15-04</t>
        </is>
      </c>
      <c r="B384" s="4">
        <v>46371</v>
      </c>
      <c r="C384" s="3" t="inlineStr">
        <is>
          <t xml:space="preserve">Salı</t>
        </is>
      </c>
      <c r="D384" s="3" t="inlineStr">
        <is>
          <t xml:space="preserve">CMPE327</t>
        </is>
      </c>
      <c r="E384" s="3" t="inlineStr">
        <is>
          <t xml:space="preserve">Ext</t>
        </is>
      </c>
      <c r="F384" s="3" t="inlineStr">
        <is>
          <t xml:space="preserve">P3</t>
        </is>
      </c>
      <c r="G384" s="6">
        <v>8</v>
      </c>
      <c r="H384" s="2" t="inlineStr">
        <is>
          <t xml:space="preserve">Tekrar (kapalı kitap aktif hatırlama, konu başına ~8 dk): Pumping lemma + non-regularity (D+14)</t>
        </is>
      </c>
      <c r="I384" s="2"/>
      <c r="J384" s="7" t="inlineStr">
        <is>
          <t xml:space="preserve">Not Started</t>
        </is>
      </c>
      <c r="K384" s="7"/>
      <c r="L384" s="3"/>
    </row>
    <row r="385">
      <c r="A385" s="2" t="inlineStr">
        <is>
          <t xml:space="preserve">2026-12-15-05</t>
        </is>
      </c>
      <c r="B385" s="4">
        <v>46371</v>
      </c>
      <c r="C385" s="3" t="inlineStr">
        <is>
          <t xml:space="preserve">Salı</t>
        </is>
      </c>
      <c r="D385" s="3" t="inlineStr">
        <is>
          <t xml:space="preserve">BIO110</t>
        </is>
      </c>
      <c r="E385" s="3" t="inlineStr">
        <is>
          <t xml:space="preserve">Ext</t>
        </is>
      </c>
      <c r="F385" s="3" t="inlineStr">
        <is>
          <t xml:space="preserve">P3</t>
        </is>
      </c>
      <c r="G385" s="6">
        <v>8</v>
      </c>
      <c r="H385" s="2" t="inlineStr">
        <is>
          <t xml:space="preserve">Tekrar (kapalı kitap aktif hatırlama, konu başına ~8 dk): The Evolution of Populations (D+14)</t>
        </is>
      </c>
      <c r="I385" s="2"/>
      <c r="J385" s="7" t="inlineStr">
        <is>
          <t xml:space="preserve">Not Started</t>
        </is>
      </c>
      <c r="K385" s="7"/>
      <c r="L385" s="3"/>
    </row>
    <row r="386">
      <c r="A386" s="2" t="inlineStr">
        <is>
          <t xml:space="preserve">2026-12-16-01</t>
        </is>
      </c>
      <c r="B386" s="4">
        <v>46372</v>
      </c>
      <c r="C386" s="3" t="inlineStr">
        <is>
          <t xml:space="preserve">Çarşamba</t>
        </is>
      </c>
      <c r="D386" s="3" t="inlineStr">
        <is>
          <t xml:space="preserve">CMPE371</t>
        </is>
      </c>
      <c r="E386" s="3" t="inlineStr">
        <is>
          <t xml:space="preserve">Min</t>
        </is>
      </c>
      <c r="F386" s="3" t="inlineStr">
        <is>
          <t xml:space="preserve">P1</t>
        </is>
      </c>
      <c r="G386" s="6">
        <v>90</v>
      </c>
      <c r="H386" s="2" t="inlineStr">
        <is>
          <t xml:space="preserve">Final: konu haritası + zayıf alanlar — tüm syllabus konularını işaretle: güçlü/orta/zayıf (Topic Mastery). ▸ Zayıf konuları sırala</t>
        </is>
      </c>
      <c r="I386" s="2"/>
      <c r="J386" s="7" t="inlineStr">
        <is>
          <t xml:space="preserve">Not Started</t>
        </is>
      </c>
      <c r="K386" s="7"/>
      <c r="L386" s="3"/>
    </row>
    <row r="387">
      <c r="A387" s="2" t="inlineStr">
        <is>
          <t xml:space="preserve">2026-12-16-02</t>
        </is>
      </c>
      <c r="B387" s="4">
        <v>46372</v>
      </c>
      <c r="C387" s="3" t="inlineStr">
        <is>
          <t xml:space="preserve">Çarşamba</t>
        </is>
      </c>
      <c r="D387" s="3" t="inlineStr">
        <is>
          <t xml:space="preserve">CMPE371</t>
        </is>
      </c>
      <c r="E387" s="3" t="inlineStr">
        <is>
          <t xml:space="preserve">Min</t>
        </is>
      </c>
      <c r="F387" s="3" t="inlineStr">
        <is>
          <t xml:space="preserve">P3</t>
        </is>
      </c>
      <c r="G387" s="6">
        <v>8</v>
      </c>
      <c r="H387" s="2" t="inlineStr">
        <is>
          <t xml:space="preserve">Tekrar (kapalı kitap aktif hatırlama, konu başına ~8 dk): Z-Transform (D+3)</t>
        </is>
      </c>
      <c r="I387" s="2"/>
      <c r="J387" s="7" t="inlineStr">
        <is>
          <t xml:space="preserve">Not Started</t>
        </is>
      </c>
      <c r="K387" s="7"/>
      <c r="L387" s="3"/>
    </row>
    <row r="388">
      <c r="A388" s="2" t="inlineStr">
        <is>
          <t xml:space="preserve">2026-12-16-03</t>
        </is>
      </c>
      <c r="B388" s="4">
        <v>46372</v>
      </c>
      <c r="C388" s="3" t="inlineStr">
        <is>
          <t xml:space="preserve">Çarşamba</t>
        </is>
      </c>
      <c r="D388" s="3" t="inlineStr">
        <is>
          <t xml:space="preserve">CMPE453</t>
        </is>
      </c>
      <c r="E388" s="3" t="inlineStr">
        <is>
          <t xml:space="preserve">Ext</t>
        </is>
      </c>
      <c r="F388" s="3" t="inlineStr">
        <is>
          <t xml:space="preserve">P3</t>
        </is>
      </c>
      <c r="G388" s="6">
        <v>8</v>
      </c>
      <c r="H388" s="2" t="inlineStr">
        <is>
          <t xml:space="preserve">Tekrar (kapalı kitap aktif hatırlama, konu başına ~8 dk): ARM Cortex / STM32 Discovery temelleri (D+14)</t>
        </is>
      </c>
      <c r="I388" s="2"/>
      <c r="J388" s="7" t="inlineStr">
        <is>
          <t xml:space="preserve">Not Started</t>
        </is>
      </c>
      <c r="K388" s="7"/>
      <c r="L388" s="3"/>
    </row>
    <row r="389">
      <c r="A389" s="2" t="inlineStr">
        <is>
          <t xml:space="preserve">2026-12-17-01</t>
        </is>
      </c>
      <c r="B389" s="4">
        <v>46373</v>
      </c>
      <c r="C389" s="3" t="inlineStr">
        <is>
          <t xml:space="preserve">Perşembe</t>
        </is>
      </c>
      <c r="D389" s="3" t="inlineStr">
        <is>
          <t xml:space="preserve">CMPE421</t>
        </is>
      </c>
      <c r="E389" s="3" t="inlineStr">
        <is>
          <t xml:space="preserve">Min</t>
        </is>
      </c>
      <c r="F389" s="3" t="inlineStr">
        <is>
          <t xml:space="preserve">P3</t>
        </is>
      </c>
      <c r="G389" s="6">
        <v>120</v>
      </c>
      <c r="H389" s="2" t="inlineStr">
        <is>
          <t xml:space="preserve">Final: karma deneme — tüm dönem karma. ▸ Süreli deneme (≈ final formatı, tahmini)</t>
        </is>
      </c>
      <c r="I389" s="2"/>
      <c r="J389" s="7" t="inlineStr">
        <is>
          <t xml:space="preserve">Not Started</t>
        </is>
      </c>
      <c r="K389" s="7"/>
      <c r="L389" s="3"/>
    </row>
    <row r="390">
      <c r="A390" s="2" t="inlineStr">
        <is>
          <t xml:space="preserve">2026-12-17-02</t>
        </is>
      </c>
      <c r="B390" s="4">
        <v>46373</v>
      </c>
      <c r="C390" s="3" t="inlineStr">
        <is>
          <t xml:space="preserve">Perşembe</t>
        </is>
      </c>
      <c r="D390" s="3" t="inlineStr">
        <is>
          <t xml:space="preserve">CMPE421</t>
        </is>
      </c>
      <c r="E390" s="3" t="inlineStr">
        <is>
          <t xml:space="preserve">Ext</t>
        </is>
      </c>
      <c r="F390" s="3" t="inlineStr">
        <is>
          <t xml:space="preserve">P3</t>
        </is>
      </c>
      <c r="G390" s="6">
        <v>16</v>
      </c>
      <c r="H390" s="2" t="inlineStr">
        <is>
          <t xml:space="preserve">Tekrar (kapalı kitap aktif hatırlama, konu başına ~8 dk): Ethics, explainability, responsible AI (D+7); Neural networks and deep learning (D+14)</t>
        </is>
      </c>
      <c r="I390" s="2"/>
      <c r="J390" s="7" t="inlineStr">
        <is>
          <t xml:space="preserve">Not Started</t>
        </is>
      </c>
      <c r="K390" s="7"/>
      <c r="L390" s="3"/>
    </row>
    <row r="391">
      <c r="A391" s="2" t="inlineStr">
        <is>
          <t xml:space="preserve">2026-12-17-03</t>
        </is>
      </c>
      <c r="B391" s="4">
        <v>46373</v>
      </c>
      <c r="C391" s="3" t="inlineStr">
        <is>
          <t xml:space="preserve">Perşembe</t>
        </is>
      </c>
      <c r="D391" s="3" t="inlineStr">
        <is>
          <t xml:space="preserve">CMPE453</t>
        </is>
      </c>
      <c r="E391" s="3" t="inlineStr">
        <is>
          <t xml:space="preserve">Ext</t>
        </is>
      </c>
      <c r="F391" s="3" t="inlineStr">
        <is>
          <t xml:space="preserve">P3</t>
        </is>
      </c>
      <c r="G391" s="6">
        <v>8</v>
      </c>
      <c r="H391" s="2" t="inlineStr">
        <is>
          <t xml:space="preserve">Tekrar (kapalı kitap aktif hatırlama, konu başına ~8 dk): PWM for ARM Cortex (D+7)</t>
        </is>
      </c>
      <c r="I391" s="2"/>
      <c r="J391" s="7" t="inlineStr">
        <is>
          <t xml:space="preserve">Not Started</t>
        </is>
      </c>
      <c r="K391" s="7"/>
      <c r="L391" s="3"/>
    </row>
    <row r="392">
      <c r="A392" s="2" t="inlineStr">
        <is>
          <t xml:space="preserve">2026-12-18-01</t>
        </is>
      </c>
      <c r="B392" s="4">
        <v>46374</v>
      </c>
      <c r="C392" s="3" t="inlineStr">
        <is>
          <t xml:space="preserve">Cuma</t>
        </is>
      </c>
      <c r="D392" s="3" t="inlineStr">
        <is>
          <t xml:space="preserve">CMPE327</t>
        </is>
      </c>
      <c r="E392" s="3" t="inlineStr">
        <is>
          <t xml:space="preserve">Min</t>
        </is>
      </c>
      <c r="F392" s="3" t="inlineStr">
        <is>
          <t xml:space="preserve">P2</t>
        </is>
      </c>
      <c r="G392" s="6">
        <v>120</v>
      </c>
      <c r="H392" s="2" t="inlineStr">
        <is>
          <t xml:space="preserve">Final: karma deneme — tüm dönem karma. ▸ Süreli deneme (≈ final formatı, tahmini)</t>
        </is>
      </c>
      <c r="I392" s="2"/>
      <c r="J392" s="7" t="inlineStr">
        <is>
          <t xml:space="preserve">Not Started</t>
        </is>
      </c>
      <c r="K392" s="7"/>
      <c r="L392" s="3"/>
    </row>
    <row r="393">
      <c r="A393" s="2" t="inlineStr">
        <is>
          <t xml:space="preserve">2026-12-18-02</t>
        </is>
      </c>
      <c r="B393" s="4">
        <v>46374</v>
      </c>
      <c r="C393" s="3" t="inlineStr">
        <is>
          <t xml:space="preserve">Cuma</t>
        </is>
      </c>
      <c r="D393" s="3" t="inlineStr">
        <is>
          <t xml:space="preserve">CMPE327</t>
        </is>
      </c>
      <c r="E393" s="3" t="inlineStr">
        <is>
          <t xml:space="preserve">Ext</t>
        </is>
      </c>
      <c r="F393" s="3" t="inlineStr">
        <is>
          <t xml:space="preserve">P3</t>
        </is>
      </c>
      <c r="G393" s="6">
        <v>16</v>
      </c>
      <c r="H393" s="2" t="inlineStr">
        <is>
          <t xml:space="preserve">Tekrar (kapalı kitap aktif hatırlama, konu başına ~8 dk): Turing machines (D+7); Pushdown automata (D+14)</t>
        </is>
      </c>
      <c r="I393" s="2"/>
      <c r="J393" s="7" t="inlineStr">
        <is>
          <t xml:space="preserve">Not Started</t>
        </is>
      </c>
      <c r="K393" s="7"/>
      <c r="L393" s="3"/>
    </row>
    <row r="394">
      <c r="A394" s="2" t="inlineStr">
        <is>
          <t xml:space="preserve">2026-12-18-03</t>
        </is>
      </c>
      <c r="B394" s="4">
        <v>46374</v>
      </c>
      <c r="C394" s="3" t="inlineStr">
        <is>
          <t xml:space="preserve">Cuma</t>
        </is>
      </c>
      <c r="D394" s="3" t="inlineStr">
        <is>
          <t xml:space="preserve">CMPE371</t>
        </is>
      </c>
      <c r="E394" s="3" t="inlineStr">
        <is>
          <t xml:space="preserve">Ext</t>
        </is>
      </c>
      <c r="F394" s="3" t="inlineStr">
        <is>
          <t xml:space="preserve">P3</t>
        </is>
      </c>
      <c r="G394" s="6">
        <v>8</v>
      </c>
      <c r="H394" s="2" t="inlineStr">
        <is>
          <t xml:space="preserve">Tekrar (kapalı kitap aktif hatırlama, konu başına ~8 dk): Sampling (D+7)</t>
        </is>
      </c>
      <c r="I394" s="2"/>
      <c r="J394" s="7" t="inlineStr">
        <is>
          <t xml:space="preserve">Not Started</t>
        </is>
      </c>
      <c r="K394" s="7"/>
      <c r="L394" s="3"/>
    </row>
    <row r="395">
      <c r="A395" s="2" t="inlineStr">
        <is>
          <t xml:space="preserve">2026-12-19-01</t>
        </is>
      </c>
      <c r="B395" s="4">
        <v>46375</v>
      </c>
      <c r="C395" s="3" t="inlineStr">
        <is>
          <t xml:space="preserve">Cumartesi</t>
        </is>
      </c>
      <c r="D395" s="3" t="inlineStr">
        <is>
          <t xml:space="preserve">BIO110</t>
        </is>
      </c>
      <c r="E395" s="3" t="inlineStr">
        <is>
          <t xml:space="preserve">Min</t>
        </is>
      </c>
      <c r="F395" s="3" t="inlineStr">
        <is>
          <t xml:space="preserve">P3</t>
        </is>
      </c>
      <c r="G395" s="6">
        <v>120</v>
      </c>
      <c r="H395" s="2" t="inlineStr">
        <is>
          <t xml:space="preserve">Final: karma deneme — tüm dönem karma. ▸ Süreli deneme (≈ final formatı, tahmini)</t>
        </is>
      </c>
      <c r="I395" s="2"/>
      <c r="J395" s="7" t="inlineStr">
        <is>
          <t xml:space="preserve">Not Started</t>
        </is>
      </c>
      <c r="K395" s="7"/>
      <c r="L395" s="3"/>
    </row>
    <row r="396">
      <c r="A396" s="2" t="inlineStr">
        <is>
          <t xml:space="preserve">2026-12-19-02</t>
        </is>
      </c>
      <c r="B396" s="4">
        <v>46375</v>
      </c>
      <c r="C396" s="3" t="inlineStr">
        <is>
          <t xml:space="preserve">Cumartesi</t>
        </is>
      </c>
      <c r="D396" s="3" t="inlineStr">
        <is>
          <t xml:space="preserve">CMPE327</t>
        </is>
      </c>
      <c r="E396" s="3" t="inlineStr">
        <is>
          <t xml:space="preserve">Ext</t>
        </is>
      </c>
      <c r="F396" s="3" t="inlineStr">
        <is>
          <t xml:space="preserve">P3</t>
        </is>
      </c>
      <c r="G396" s="6">
        <v>8</v>
      </c>
      <c r="H396" s="2" t="inlineStr">
        <is>
          <t xml:space="preserve">Tekrar (kapalı kitap aktif hatırlama, konu başına ~8 dk): Decision problems (D+7)</t>
        </is>
      </c>
      <c r="I396" s="2"/>
      <c r="J396" s="7" t="inlineStr">
        <is>
          <t xml:space="preserve">Not Started</t>
        </is>
      </c>
      <c r="K396" s="7"/>
      <c r="L396" s="3"/>
    </row>
    <row r="397">
      <c r="A397" s="2" t="inlineStr">
        <is>
          <t xml:space="preserve">2026-12-20-01</t>
        </is>
      </c>
      <c r="B397" s="4">
        <v>46376</v>
      </c>
      <c r="C397" s="3" t="inlineStr">
        <is>
          <t xml:space="preserve">Pazar</t>
        </is>
      </c>
      <c r="D397" s="3" t="inlineStr">
        <is>
          <t xml:space="preserve">CMPE453</t>
        </is>
      </c>
      <c r="E397" s="3" t="inlineStr">
        <is>
          <t xml:space="preserve">Min</t>
        </is>
      </c>
      <c r="F397" s="3" t="inlineStr">
        <is>
          <t xml:space="preserve">P2</t>
        </is>
      </c>
      <c r="G397" s="6">
        <v>120</v>
      </c>
      <c r="H397" s="2" t="inlineStr">
        <is>
          <t xml:space="preserve">Final: karma deneme — tüm dönem karma. ▸ Süreli deneme (≈ final formatı, tahmini)</t>
        </is>
      </c>
      <c r="I397" s="2"/>
      <c r="J397" s="7" t="inlineStr">
        <is>
          <t xml:space="preserve">Not Started</t>
        </is>
      </c>
      <c r="K397" s="7"/>
      <c r="L397" s="3"/>
    </row>
    <row r="398">
      <c r="A398" s="2" t="inlineStr">
        <is>
          <t xml:space="preserve">2026-12-20-02</t>
        </is>
      </c>
      <c r="B398" s="4">
        <v>46376</v>
      </c>
      <c r="C398" s="3" t="inlineStr">
        <is>
          <t xml:space="preserve">Pazar</t>
        </is>
      </c>
      <c r="D398" s="3" t="inlineStr">
        <is>
          <t xml:space="preserve">CMPE371</t>
        </is>
      </c>
      <c r="E398" s="3" t="inlineStr">
        <is>
          <t xml:space="preserve">Min</t>
        </is>
      </c>
      <c r="F398" s="3" t="inlineStr">
        <is>
          <t xml:space="preserve">P1</t>
        </is>
      </c>
      <c r="G398" s="6">
        <v>120</v>
      </c>
      <c r="H398" s="2" t="inlineStr">
        <is>
          <t xml:space="preserve">Final: karma deneme — tüm dönem karma. ▸ Süreli deneme (≈ final formatı, tahmini)</t>
        </is>
      </c>
      <c r="I398" s="2"/>
      <c r="J398" s="7" t="inlineStr">
        <is>
          <t xml:space="preserve">Not Started</t>
        </is>
      </c>
      <c r="K398" s="7"/>
      <c r="L398" s="3"/>
    </row>
    <row r="399">
      <c r="A399" s="2" t="inlineStr">
        <is>
          <t xml:space="preserve">2026-12-20-03</t>
        </is>
      </c>
      <c r="B399" s="4">
        <v>46376</v>
      </c>
      <c r="C399" s="3" t="inlineStr">
        <is>
          <t xml:space="preserve">Pazar</t>
        </is>
      </c>
      <c r="D399" s="3" t="inlineStr">
        <is>
          <t xml:space="preserve">CMPE421</t>
        </is>
      </c>
      <c r="E399" s="3" t="inlineStr">
        <is>
          <t xml:space="preserve">Min</t>
        </is>
      </c>
      <c r="F399" s="3" t="inlineStr">
        <is>
          <t xml:space="preserve">P3</t>
        </is>
      </c>
      <c r="G399" s="6">
        <v>60</v>
      </c>
      <c r="H399" s="2" t="inlineStr">
        <is>
          <t xml:space="preserve">Final: yanlış defteri turu — Mistake Log'daki tekrar eden hatalar. ▸ Yanlış konulardan 15 soru</t>
        </is>
      </c>
      <c r="I399" s="2"/>
      <c r="J399" s="7" t="inlineStr">
        <is>
          <t xml:space="preserve">Not Started</t>
        </is>
      </c>
      <c r="K399" s="7"/>
      <c r="L399" s="3"/>
    </row>
    <row r="400">
      <c r="A400" s="2" t="inlineStr">
        <is>
          <t xml:space="preserve">2026-12-20-04</t>
        </is>
      </c>
      <c r="B400" s="4">
        <v>46376</v>
      </c>
      <c r="C400" s="3" t="inlineStr">
        <is>
          <t xml:space="preserve">Pazar</t>
        </is>
      </c>
      <c r="D400" s="3" t="inlineStr">
        <is>
          <t xml:space="preserve">CMPE371</t>
        </is>
      </c>
      <c r="E400" s="3" t="inlineStr">
        <is>
          <t xml:space="preserve">Ext</t>
        </is>
      </c>
      <c r="F400" s="3" t="inlineStr">
        <is>
          <t xml:space="preserve">P3</t>
        </is>
      </c>
      <c r="G400" s="6">
        <v>16</v>
      </c>
      <c r="H400" s="2" t="inlineStr">
        <is>
          <t xml:space="preserve">Tekrar (kapalı kitap aktif hatırlama, konu başına ~8 dk): Z-Transform (D+7); Filtering (D+14)</t>
        </is>
      </c>
      <c r="I400" s="2"/>
      <c r="J400" s="7" t="inlineStr">
        <is>
          <t xml:space="preserve">Not Started</t>
        </is>
      </c>
      <c r="K400" s="7"/>
      <c r="L400" s="3"/>
    </row>
    <row r="401">
      <c r="A401" s="2" t="inlineStr">
        <is>
          <t xml:space="preserve">2026-12-20-05</t>
        </is>
      </c>
      <c r="B401" s="4">
        <v>46376</v>
      </c>
      <c r="C401" s="3" t="inlineStr">
        <is>
          <t xml:space="preserve">Pazar</t>
        </is>
      </c>
      <c r="D401" s="3" t="inlineStr">
        <is>
          <t xml:space="preserve">CMPE327</t>
        </is>
      </c>
      <c r="E401" s="3" t="inlineStr">
        <is>
          <t xml:space="preserve">Ext</t>
        </is>
      </c>
      <c r="F401" s="3" t="inlineStr">
        <is>
          <t xml:space="preserve">P3</t>
        </is>
      </c>
      <c r="G401" s="6">
        <v>8</v>
      </c>
      <c r="H401" s="2" t="inlineStr">
        <is>
          <t xml:space="preserve">Tekrar (kapalı kitap aktif hatırlama, konu başına ~8 dk): Ogden's lemma (D+14)</t>
        </is>
      </c>
      <c r="I401" s="2"/>
      <c r="J401" s="7" t="inlineStr">
        <is>
          <t xml:space="preserve">Not Started</t>
        </is>
      </c>
      <c r="K401" s="7"/>
      <c r="L401" s="3"/>
    </row>
    <row r="402">
      <c r="A402" s="2" t="inlineStr">
        <is>
          <t xml:space="preserve">2026-12-20-06</t>
        </is>
      </c>
      <c r="B402" s="4">
        <v>46376</v>
      </c>
      <c r="C402" s="3" t="inlineStr">
        <is>
          <t xml:space="preserve">Pazar</t>
        </is>
      </c>
      <c r="D402" s="3" t="inlineStr">
        <is>
          <t xml:space="preserve">CMPE421</t>
        </is>
      </c>
      <c r="E402" s="3" t="inlineStr">
        <is>
          <t xml:space="preserve">Ext</t>
        </is>
      </c>
      <c r="F402" s="3" t="inlineStr">
        <is>
          <t xml:space="preserve">P3</t>
        </is>
      </c>
      <c r="G402" s="6">
        <v>8</v>
      </c>
      <c r="H402" s="2" t="inlineStr">
        <is>
          <t xml:space="preserve">Tekrar (kapalı kitap aktif hatırlama, konu başına ~8 dk): NLP and LLMs (D+14)</t>
        </is>
      </c>
      <c r="I402" s="2"/>
      <c r="J402" s="7" t="inlineStr">
        <is>
          <t xml:space="preserve">Not Started</t>
        </is>
      </c>
      <c r="K402" s="7"/>
      <c r="L402" s="3"/>
    </row>
    <row r="403">
      <c r="A403" s="2" t="inlineStr">
        <is>
          <t xml:space="preserve">2026-12-20-07</t>
        </is>
      </c>
      <c r="B403" s="4">
        <v>46376</v>
      </c>
      <c r="C403" s="3" t="inlineStr">
        <is>
          <t xml:space="preserve">Pazar</t>
        </is>
      </c>
      <c r="D403" s="3" t="inlineStr">
        <is>
          <t xml:space="preserve">CMPE453</t>
        </is>
      </c>
      <c r="E403" s="3" t="inlineStr">
        <is>
          <t xml:space="preserve">Ext</t>
        </is>
      </c>
      <c r="F403" s="3" t="inlineStr">
        <is>
          <t xml:space="preserve">P3</t>
        </is>
      </c>
      <c r="G403" s="6">
        <v>8</v>
      </c>
      <c r="H403" s="2" t="inlineStr">
        <is>
          <t xml:space="preserve">Tekrar (kapalı kitap aktif hatırlama, konu başına ~8 dk): STM32 GPIO + LED (D+14)</t>
        </is>
      </c>
      <c r="I403" s="2"/>
      <c r="J403" s="7" t="inlineStr">
        <is>
          <t xml:space="preserve">Not Started</t>
        </is>
      </c>
      <c r="K403" s="7"/>
      <c r="L403" s="3"/>
    </row>
    <row r="404">
      <c r="A404" s="2" t="inlineStr">
        <is>
          <t xml:space="preserve">2026-12-21-01</t>
        </is>
      </c>
      <c r="B404" s="4">
        <v>46377</v>
      </c>
      <c r="C404" s="3" t="inlineStr">
        <is>
          <t xml:space="preserve">Pazartesi</t>
        </is>
      </c>
      <c r="D404" s="3" t="inlineStr">
        <is>
          <t xml:space="preserve">CMPE327</t>
        </is>
      </c>
      <c r="E404" s="3" t="inlineStr">
        <is>
          <t xml:space="preserve">Min</t>
        </is>
      </c>
      <c r="F404" s="3" t="inlineStr">
        <is>
          <t xml:space="preserve">P2</t>
        </is>
      </c>
      <c r="G404" s="6">
        <v>60</v>
      </c>
      <c r="H404" s="2" t="inlineStr">
        <is>
          <t xml:space="preserve">Final: yanlış defteri turu — Mistake Log'daki tekrar eden hatalar. ▸ Yanlış konulardan 15 soru</t>
        </is>
      </c>
      <c r="I404" s="2"/>
      <c r="J404" s="7" t="inlineStr">
        <is>
          <t xml:space="preserve">Not Started</t>
        </is>
      </c>
      <c r="K404" s="7"/>
      <c r="L404" s="3"/>
    </row>
    <row r="405">
      <c r="A405" s="2" t="inlineStr">
        <is>
          <t xml:space="preserve">2026-12-21-02</t>
        </is>
      </c>
      <c r="B405" s="4">
        <v>46377</v>
      </c>
      <c r="C405" s="3" t="inlineStr">
        <is>
          <t xml:space="preserve">Pazartesi</t>
        </is>
      </c>
      <c r="D405" s="3" t="inlineStr">
        <is>
          <t xml:space="preserve">BIO110</t>
        </is>
      </c>
      <c r="E405" s="3" t="inlineStr">
        <is>
          <t xml:space="preserve">Min</t>
        </is>
      </c>
      <c r="F405" s="3" t="inlineStr">
        <is>
          <t xml:space="preserve">P3</t>
        </is>
      </c>
      <c r="G405" s="6">
        <v>60</v>
      </c>
      <c r="H405" s="2" t="inlineStr">
        <is>
          <t xml:space="preserve">Final: yanlış defteri turu — Mistake Log'daki tekrar eden hatalar. ▸ Yanlış konulardan 15 soru</t>
        </is>
      </c>
      <c r="I405" s="2"/>
      <c r="J405" s="7" t="inlineStr">
        <is>
          <t xml:space="preserve">Not Started</t>
        </is>
      </c>
      <c r="K405" s="7"/>
      <c r="L405" s="3"/>
    </row>
    <row r="406">
      <c r="A406" s="2" t="inlineStr">
        <is>
          <t xml:space="preserve">2026-12-21-03</t>
        </is>
      </c>
      <c r="B406" s="4">
        <v>46377</v>
      </c>
      <c r="C406" s="3" t="inlineStr">
        <is>
          <t xml:space="preserve">Pazartesi</t>
        </is>
      </c>
      <c r="D406" s="3" t="inlineStr">
        <is>
          <t xml:space="preserve">CMPE453</t>
        </is>
      </c>
      <c r="E406" s="3" t="inlineStr">
        <is>
          <t xml:space="preserve">Min</t>
        </is>
      </c>
      <c r="F406" s="3" t="inlineStr">
        <is>
          <t xml:space="preserve">P2</t>
        </is>
      </c>
      <c r="G406" s="6">
        <v>60</v>
      </c>
      <c r="H406" s="2" t="inlineStr">
        <is>
          <t xml:space="preserve">Final: yanlış defteri turu — Mistake Log'daki tekrar eden hatalar. ▸ Yanlış konulardan 15 soru</t>
        </is>
      </c>
      <c r="I406" s="2"/>
      <c r="J406" s="7" t="inlineStr">
        <is>
          <t xml:space="preserve">Not Started</t>
        </is>
      </c>
      <c r="K406" s="7"/>
      <c r="L406" s="3"/>
    </row>
    <row r="407">
      <c r="A407" s="2" t="inlineStr">
        <is>
          <t xml:space="preserve">2026-12-21-04</t>
        </is>
      </c>
      <c r="B407" s="4">
        <v>46377</v>
      </c>
      <c r="C407" s="3" t="inlineStr">
        <is>
          <t xml:space="preserve">Pazartesi</t>
        </is>
      </c>
      <c r="D407" s="3" t="inlineStr">
        <is>
          <t xml:space="preserve">CMPE421</t>
        </is>
      </c>
      <c r="E407" s="3" t="inlineStr">
        <is>
          <t xml:space="preserve">Ext</t>
        </is>
      </c>
      <c r="F407" s="3" t="inlineStr">
        <is>
          <t xml:space="preserve">P3</t>
        </is>
      </c>
      <c r="G407" s="6">
        <v>8</v>
      </c>
      <c r="H407" s="2" t="inlineStr">
        <is>
          <t xml:space="preserve">Tekrar (kapalı kitap aktif hatırlama, konu başına ~8 dk): Reinforcement learning (D+14)</t>
        </is>
      </c>
      <c r="I407" s="2"/>
      <c r="J407" s="7" t="inlineStr">
        <is>
          <t xml:space="preserve">Not Started</t>
        </is>
      </c>
      <c r="K407" s="7"/>
      <c r="L407" s="3"/>
    </row>
    <row r="408">
      <c r="A408" s="2" t="inlineStr">
        <is>
          <t xml:space="preserve">2026-12-22-01</t>
        </is>
      </c>
      <c r="B408" s="4">
        <v>46378</v>
      </c>
      <c r="C408" s="3" t="inlineStr">
        <is>
          <t xml:space="preserve">Salı</t>
        </is>
      </c>
      <c r="D408" s="3" t="inlineStr">
        <is>
          <t xml:space="preserve">CMPE371</t>
        </is>
      </c>
      <c r="E408" s="3" t="inlineStr">
        <is>
          <t xml:space="preserve">Min</t>
        </is>
      </c>
      <c r="F408" s="3" t="inlineStr">
        <is>
          <t xml:space="preserve">P1</t>
        </is>
      </c>
      <c r="G408" s="6">
        <v>60</v>
      </c>
      <c r="H408" s="2" t="inlineStr">
        <is>
          <t xml:space="preserve">Final: yanlış defteri turu — Mistake Log'daki tekrar eden hatalar. ▸ Yanlış konulardan 15 soru</t>
        </is>
      </c>
      <c r="I408" s="2"/>
      <c r="J408" s="7" t="inlineStr">
        <is>
          <t xml:space="preserve">Not Started</t>
        </is>
      </c>
      <c r="K408" s="7"/>
      <c r="L408" s="3"/>
    </row>
    <row r="409">
      <c r="A409" s="2" t="inlineStr">
        <is>
          <t xml:space="preserve">2026-12-22-02</t>
        </is>
      </c>
      <c r="B409" s="4">
        <v>46378</v>
      </c>
      <c r="C409" s="3" t="inlineStr">
        <is>
          <t xml:space="preserve">Salı</t>
        </is>
      </c>
      <c r="D409" s="3" t="inlineStr">
        <is>
          <t xml:space="preserve">CMPE421</t>
        </is>
      </c>
      <c r="E409" s="3" t="inlineStr">
        <is>
          <t xml:space="preserve">Min</t>
        </is>
      </c>
      <c r="F409" s="3" t="inlineStr">
        <is>
          <t xml:space="preserve">P3</t>
        </is>
      </c>
      <c r="G409" s="6">
        <v>120</v>
      </c>
      <c r="H409" s="2" t="inlineStr">
        <is>
          <t xml:space="preserve">Final: karma deneme 2 — ikinci tam dönem denemesi. ▸ Süreli deneme, ardından yanlış analizi</t>
        </is>
      </c>
      <c r="I409" s="2"/>
      <c r="J409" s="7" t="inlineStr">
        <is>
          <t xml:space="preserve">Not Started</t>
        </is>
      </c>
      <c r="K409" s="7"/>
      <c r="L409" s="3"/>
    </row>
    <row r="410">
      <c r="A410" s="2" t="inlineStr">
        <is>
          <t xml:space="preserve">2026-12-23-01</t>
        </is>
      </c>
      <c r="B410" s="4">
        <v>46379</v>
      </c>
      <c r="C410" s="3" t="inlineStr">
        <is>
          <t xml:space="preserve">Çarşamba</t>
        </is>
      </c>
      <c r="D410" s="3" t="inlineStr">
        <is>
          <t xml:space="preserve">CMPE327</t>
        </is>
      </c>
      <c r="E410" s="3" t="inlineStr">
        <is>
          <t xml:space="preserve">Min</t>
        </is>
      </c>
      <c r="F410" s="3" t="inlineStr">
        <is>
          <t xml:space="preserve">P2</t>
        </is>
      </c>
      <c r="G410" s="6">
        <v>120</v>
      </c>
      <c r="H410" s="2" t="inlineStr">
        <is>
          <t xml:space="preserve">Final: karma deneme 2 — ikinci tam dönem denemesi. ▸ Süreli deneme, ardından yanlış analizi</t>
        </is>
      </c>
      <c r="I410" s="2"/>
      <c r="J410" s="7" t="inlineStr">
        <is>
          <t xml:space="preserve">Not Started</t>
        </is>
      </c>
      <c r="K410" s="7"/>
      <c r="L410" s="3"/>
    </row>
    <row r="411">
      <c r="A411" s="2" t="inlineStr">
        <is>
          <t xml:space="preserve">2026-12-24-01</t>
        </is>
      </c>
      <c r="B411" s="4">
        <v>46380</v>
      </c>
      <c r="C411" s="3" t="inlineStr">
        <is>
          <t xml:space="preserve">Perşembe</t>
        </is>
      </c>
      <c r="D411" s="3" t="inlineStr">
        <is>
          <t xml:space="preserve">BIO110</t>
        </is>
      </c>
      <c r="E411" s="3" t="inlineStr">
        <is>
          <t xml:space="preserve">Min</t>
        </is>
      </c>
      <c r="F411" s="3" t="inlineStr">
        <is>
          <t xml:space="preserve">P3</t>
        </is>
      </c>
      <c r="G411" s="6">
        <v>120</v>
      </c>
      <c r="H411" s="2" t="inlineStr">
        <is>
          <t xml:space="preserve">Final: karma deneme 2 — ikinci tam dönem denemesi. ▸ Süreli deneme, ardından yanlış analizi</t>
        </is>
      </c>
      <c r="I411" s="2"/>
      <c r="J411" s="7" t="inlineStr">
        <is>
          <t xml:space="preserve">Not Started</t>
        </is>
      </c>
      <c r="K411" s="7"/>
      <c r="L411" s="3"/>
    </row>
    <row r="412">
      <c r="A412" s="2" t="inlineStr">
        <is>
          <t xml:space="preserve">2026-12-24-02</t>
        </is>
      </c>
      <c r="B412" s="4">
        <v>46380</v>
      </c>
      <c r="C412" s="3" t="inlineStr">
        <is>
          <t xml:space="preserve">Perşembe</t>
        </is>
      </c>
      <c r="D412" s="3" t="inlineStr">
        <is>
          <t xml:space="preserve">CMPE421</t>
        </is>
      </c>
      <c r="E412" s="3" t="inlineStr">
        <is>
          <t xml:space="preserve">Ext</t>
        </is>
      </c>
      <c r="F412" s="3" t="inlineStr">
        <is>
          <t xml:space="preserve">P3</t>
        </is>
      </c>
      <c r="G412" s="6">
        <v>8</v>
      </c>
      <c r="H412" s="2" t="inlineStr">
        <is>
          <t xml:space="preserve">Tekrar (kapalı kitap aktif hatırlama, konu başına ~8 dk): Ethics, explainability, responsible AI (D+14)</t>
        </is>
      </c>
      <c r="I412" s="2"/>
      <c r="J412" s="7" t="inlineStr">
        <is>
          <t xml:space="preserve">Not Started</t>
        </is>
      </c>
      <c r="K412" s="7"/>
      <c r="L412" s="3"/>
    </row>
    <row r="413">
      <c r="A413" s="2" t="inlineStr">
        <is>
          <t xml:space="preserve">2026-12-24-03</t>
        </is>
      </c>
      <c r="B413" s="4">
        <v>46380</v>
      </c>
      <c r="C413" s="3" t="inlineStr">
        <is>
          <t xml:space="preserve">Perşembe</t>
        </is>
      </c>
      <c r="D413" s="3" t="inlineStr">
        <is>
          <t xml:space="preserve">CMPE453</t>
        </is>
      </c>
      <c r="E413" s="3" t="inlineStr">
        <is>
          <t xml:space="preserve">Ext</t>
        </is>
      </c>
      <c r="F413" s="3" t="inlineStr">
        <is>
          <t xml:space="preserve">P3</t>
        </is>
      </c>
      <c r="G413" s="6">
        <v>8</v>
      </c>
      <c r="H413" s="2" t="inlineStr">
        <is>
          <t xml:space="preserve">Tekrar (kapalı kitap aktif hatırlama, konu başına ~8 dk): PWM for ARM Cortex (D+14)</t>
        </is>
      </c>
      <c r="I413" s="2"/>
      <c r="J413" s="7" t="inlineStr">
        <is>
          <t xml:space="preserve">Not Started</t>
        </is>
      </c>
      <c r="K413" s="7"/>
      <c r="L413" s="3"/>
    </row>
    <row r="414">
      <c r="A414" s="2" t="inlineStr">
        <is>
          <t xml:space="preserve">2026-12-25-01</t>
        </is>
      </c>
      <c r="B414" s="4">
        <v>46381</v>
      </c>
      <c r="C414" s="3" t="inlineStr">
        <is>
          <t xml:space="preserve">Cuma</t>
        </is>
      </c>
      <c r="D414" s="3" t="inlineStr">
        <is>
          <t xml:space="preserve">CMPE453</t>
        </is>
      </c>
      <c r="E414" s="3" t="inlineStr">
        <is>
          <t xml:space="preserve">Min</t>
        </is>
      </c>
      <c r="F414" s="3" t="inlineStr">
        <is>
          <t xml:space="preserve">P2</t>
        </is>
      </c>
      <c r="G414" s="6">
        <v>120</v>
      </c>
      <c r="H414" s="2" t="inlineStr">
        <is>
          <t xml:space="preserve">Final: karma deneme 2 — ikinci tam dönem denemesi. ▸ Süreli deneme, ardından yanlış analizi</t>
        </is>
      </c>
      <c r="I414" s="2"/>
      <c r="J414" s="7" t="inlineStr">
        <is>
          <t xml:space="preserve">Not Started</t>
        </is>
      </c>
      <c r="K414" s="7"/>
      <c r="L414" s="3"/>
    </row>
    <row r="415">
      <c r="A415" s="2" t="inlineStr">
        <is>
          <t xml:space="preserve">2026-12-25-02</t>
        </is>
      </c>
      <c r="B415" s="4">
        <v>46381</v>
      </c>
      <c r="C415" s="3" t="inlineStr">
        <is>
          <t xml:space="preserve">Cuma</t>
        </is>
      </c>
      <c r="D415" s="3" t="inlineStr">
        <is>
          <t xml:space="preserve">CMPE327</t>
        </is>
      </c>
      <c r="E415" s="3" t="inlineStr">
        <is>
          <t xml:space="preserve">Ext</t>
        </is>
      </c>
      <c r="F415" s="3" t="inlineStr">
        <is>
          <t xml:space="preserve">P3</t>
        </is>
      </c>
      <c r="G415" s="6">
        <v>8</v>
      </c>
      <c r="H415" s="2" t="inlineStr">
        <is>
          <t xml:space="preserve">Tekrar (kapalı kitap aktif hatırlama, konu başına ~8 dk): Turing machines (D+14)</t>
        </is>
      </c>
      <c r="I415" s="2"/>
      <c r="J415" s="7" t="inlineStr">
        <is>
          <t xml:space="preserve">Not Started</t>
        </is>
      </c>
      <c r="K415" s="7"/>
      <c r="L415" s="3"/>
    </row>
    <row r="416">
      <c r="A416" s="2" t="inlineStr">
        <is>
          <t xml:space="preserve">2026-12-25-03</t>
        </is>
      </c>
      <c r="B416" s="4">
        <v>46381</v>
      </c>
      <c r="C416" s="3" t="inlineStr">
        <is>
          <t xml:space="preserve">Cuma</t>
        </is>
      </c>
      <c r="D416" s="3" t="inlineStr">
        <is>
          <t xml:space="preserve">CMPE371</t>
        </is>
      </c>
      <c r="E416" s="3" t="inlineStr">
        <is>
          <t xml:space="preserve">Ext</t>
        </is>
      </c>
      <c r="F416" s="3" t="inlineStr">
        <is>
          <t xml:space="preserve">P3</t>
        </is>
      </c>
      <c r="G416" s="6">
        <v>8</v>
      </c>
      <c r="H416" s="2" t="inlineStr">
        <is>
          <t xml:space="preserve">Tekrar (kapalı kitap aktif hatırlama, konu başına ~8 dk): Sampling (D+14)</t>
        </is>
      </c>
      <c r="I416" s="2"/>
      <c r="J416" s="7" t="inlineStr">
        <is>
          <t xml:space="preserve">Not Started</t>
        </is>
      </c>
      <c r="K416" s="7"/>
      <c r="L416" s="3"/>
    </row>
    <row r="417">
      <c r="A417" s="2" t="inlineStr">
        <is>
          <t xml:space="preserve">2026-12-26-01</t>
        </is>
      </c>
      <c r="B417" s="4">
        <v>46382</v>
      </c>
      <c r="C417" s="3" t="inlineStr">
        <is>
          <t xml:space="preserve">Cumartesi</t>
        </is>
      </c>
      <c r="D417" s="3" t="inlineStr">
        <is>
          <t xml:space="preserve">CMPE371</t>
        </is>
      </c>
      <c r="E417" s="3" t="inlineStr">
        <is>
          <t xml:space="preserve">Min</t>
        </is>
      </c>
      <c r="F417" s="3" t="inlineStr">
        <is>
          <t xml:space="preserve">P1</t>
        </is>
      </c>
      <c r="G417" s="6">
        <v>120</v>
      </c>
      <c r="H417" s="2" t="inlineStr">
        <is>
          <t xml:space="preserve">Final: karma deneme 2 — ikinci tam dönem denemesi. ▸ Süreli deneme, ardından yanlış analizi</t>
        </is>
      </c>
      <c r="I417" s="2"/>
      <c r="J417" s="7" t="inlineStr">
        <is>
          <t xml:space="preserve">Not Started</t>
        </is>
      </c>
      <c r="K417" s="7"/>
      <c r="L417" s="3"/>
    </row>
    <row r="418">
      <c r="A418" s="2" t="inlineStr">
        <is>
          <t xml:space="preserve">2026-12-26-02</t>
        </is>
      </c>
      <c r="B418" s="4">
        <v>46382</v>
      </c>
      <c r="C418" s="3" t="inlineStr">
        <is>
          <t xml:space="preserve">Cumartesi</t>
        </is>
      </c>
      <c r="D418" s="3" t="inlineStr">
        <is>
          <t xml:space="preserve">CMPE327</t>
        </is>
      </c>
      <c r="E418" s="3" t="inlineStr">
        <is>
          <t xml:space="preserve">Ext</t>
        </is>
      </c>
      <c r="F418" s="3" t="inlineStr">
        <is>
          <t xml:space="preserve">P3</t>
        </is>
      </c>
      <c r="G418" s="6">
        <v>8</v>
      </c>
      <c r="H418" s="2" t="inlineStr">
        <is>
          <t xml:space="preserve">Tekrar (kapalı kitap aktif hatırlama, konu başına ~8 dk): Decision problems (D+14)</t>
        </is>
      </c>
      <c r="I418" s="2"/>
      <c r="J418" s="7" t="inlineStr">
        <is>
          <t xml:space="preserve">Not Started</t>
        </is>
      </c>
      <c r="K418" s="7"/>
      <c r="L418" s="3"/>
    </row>
    <row r="419">
      <c r="A419" s="2" t="inlineStr">
        <is>
          <t xml:space="preserve">2026-12-27-01</t>
        </is>
      </c>
      <c r="B419" s="4">
        <v>46383</v>
      </c>
      <c r="C419" s="3" t="inlineStr">
        <is>
          <t xml:space="preserve">Pazar</t>
        </is>
      </c>
      <c r="D419" s="3" t="inlineStr">
        <is>
          <t xml:space="preserve">CMPE327</t>
        </is>
      </c>
      <c r="E419" s="3" t="inlineStr">
        <is>
          <t xml:space="preserve">Min</t>
        </is>
      </c>
      <c r="F419" s="3" t="inlineStr">
        <is>
          <t xml:space="preserve">P2</t>
        </is>
      </c>
      <c r="G419" s="6">
        <v>60</v>
      </c>
      <c r="H419" s="2" t="inlineStr">
        <is>
          <t xml:space="preserve">Final: son tur formül/şema/algoritma — tek sayfa özet. ▸ kapalı kitap yeniden yaz</t>
        </is>
      </c>
      <c r="I419" s="2"/>
      <c r="J419" s="7" t="inlineStr">
        <is>
          <t xml:space="preserve">Not Started</t>
        </is>
      </c>
      <c r="K419" s="7"/>
      <c r="L419" s="3"/>
    </row>
    <row r="420">
      <c r="A420" s="2" t="inlineStr">
        <is>
          <t xml:space="preserve">2026-12-27-02</t>
        </is>
      </c>
      <c r="B420" s="4">
        <v>46383</v>
      </c>
      <c r="C420" s="3" t="inlineStr">
        <is>
          <t xml:space="preserve">Pazar</t>
        </is>
      </c>
      <c r="D420" s="3" t="inlineStr">
        <is>
          <t xml:space="preserve">BIO110</t>
        </is>
      </c>
      <c r="E420" s="3" t="inlineStr">
        <is>
          <t xml:space="preserve">Min</t>
        </is>
      </c>
      <c r="F420" s="3" t="inlineStr">
        <is>
          <t xml:space="preserve">P3</t>
        </is>
      </c>
      <c r="G420" s="6">
        <v>60</v>
      </c>
      <c r="H420" s="2" t="inlineStr">
        <is>
          <t xml:space="preserve">Final: son tur formül/şema/algoritma — tek sayfa özet. ▸ kapalı kitap yeniden yaz</t>
        </is>
      </c>
      <c r="I420" s="2"/>
      <c r="J420" s="7" t="inlineStr">
        <is>
          <t xml:space="preserve">Not Started</t>
        </is>
      </c>
      <c r="K420" s="7"/>
      <c r="L420" s="3"/>
    </row>
    <row r="421">
      <c r="A421" s="2" t="inlineStr">
        <is>
          <t xml:space="preserve">2026-12-27-03</t>
        </is>
      </c>
      <c r="B421" s="4">
        <v>46383</v>
      </c>
      <c r="C421" s="3" t="inlineStr">
        <is>
          <t xml:space="preserve">Pazar</t>
        </is>
      </c>
      <c r="D421" s="3" t="inlineStr">
        <is>
          <t xml:space="preserve">CMPE371</t>
        </is>
      </c>
      <c r="E421" s="3" t="inlineStr">
        <is>
          <t xml:space="preserve">Min</t>
        </is>
      </c>
      <c r="F421" s="3" t="inlineStr">
        <is>
          <t xml:space="preserve">P1</t>
        </is>
      </c>
      <c r="G421" s="6">
        <v>60</v>
      </c>
      <c r="H421" s="2" t="inlineStr">
        <is>
          <t xml:space="preserve">Final: son tur formül/şema/algoritma — tek sayfa özet. ▸ kapalı kitap yeniden yaz</t>
        </is>
      </c>
      <c r="I421" s="2"/>
      <c r="J421" s="7" t="inlineStr">
        <is>
          <t xml:space="preserve">Not Started</t>
        </is>
      </c>
      <c r="K421" s="7"/>
      <c r="L421" s="3"/>
    </row>
    <row r="422">
      <c r="A422" s="2" t="inlineStr">
        <is>
          <t xml:space="preserve">2026-12-27-04</t>
        </is>
      </c>
      <c r="B422" s="4">
        <v>46383</v>
      </c>
      <c r="C422" s="3" t="inlineStr">
        <is>
          <t xml:space="preserve">Pazar</t>
        </is>
      </c>
      <c r="D422" s="3" t="inlineStr">
        <is>
          <t xml:space="preserve">CMPE371</t>
        </is>
      </c>
      <c r="E422" s="3" t="inlineStr">
        <is>
          <t xml:space="preserve">Ext</t>
        </is>
      </c>
      <c r="F422" s="3" t="inlineStr">
        <is>
          <t xml:space="preserve">P3</t>
        </is>
      </c>
      <c r="G422" s="6">
        <v>8</v>
      </c>
      <c r="H422" s="2" t="inlineStr">
        <is>
          <t xml:space="preserve">Tekrar (kapalı kitap aktif hatırlama, konu başına ~8 dk): Z-Transform (D+14)</t>
        </is>
      </c>
      <c r="I422" s="2"/>
      <c r="J422" s="7" t="inlineStr">
        <is>
          <t xml:space="preserve">Not Started</t>
        </is>
      </c>
      <c r="K422" s="7"/>
      <c r="L422" s="3"/>
    </row>
    <row r="423">
      <c r="A423" s="2" t="inlineStr">
        <is>
          <t xml:space="preserve">2026-12-28-01</t>
        </is>
      </c>
      <c r="B423" s="4">
        <v>46384</v>
      </c>
      <c r="C423" s="3" t="inlineStr">
        <is>
          <t xml:space="preserve">Pazartesi</t>
        </is>
      </c>
      <c r="D423" s="3" t="inlineStr">
        <is>
          <t xml:space="preserve">GENEL</t>
        </is>
      </c>
      <c r="E423" s="3" t="inlineStr">
        <is>
          <t xml:space="preserve">Min</t>
        </is>
      </c>
      <c r="F423" s="3" t="inlineStr">
        <is>
          <t xml:space="preserve">P1</t>
        </is>
      </c>
      <c r="G423" s="6">
        <v>20</v>
      </c>
      <c r="H423" s="2" t="inlineStr">
        <is>
          <t xml:space="preserve">Final bilgilerini doğrula — resmi final tarih/saat/salon ve kapsamlar; açıklanmadıysa bölüm duyurularına bak. ▸ Exam Countdown'a işle; plan_data.py EVALS güncelle</t>
        </is>
      </c>
      <c r="I423" s="2"/>
      <c r="J423" s="7" t="inlineStr">
        <is>
          <t xml:space="preserve">Not Started</t>
        </is>
      </c>
      <c r="K423" s="7"/>
      <c r="L423" s="3"/>
    </row>
    <row r="424">
      <c r="A424" s="2" t="inlineStr">
        <is>
          <t xml:space="preserve">2026-12-28-02</t>
        </is>
      </c>
      <c r="B424" s="4">
        <v>46384</v>
      </c>
      <c r="C424" s="3" t="inlineStr">
        <is>
          <t xml:space="preserve">Pazartesi</t>
        </is>
      </c>
      <c r="D424" s="3" t="inlineStr">
        <is>
          <t xml:space="preserve">CMPE421</t>
        </is>
      </c>
      <c r="E424" s="3" t="inlineStr">
        <is>
          <t xml:space="preserve">Min</t>
        </is>
      </c>
      <c r="F424" s="3" t="inlineStr">
        <is>
          <t xml:space="preserve">P3</t>
        </is>
      </c>
      <c r="G424" s="6">
        <v>60</v>
      </c>
      <c r="H424" s="2" t="inlineStr">
        <is>
          <t xml:space="preserve">Final: son tur formül/şema/algoritma — tek sayfa özet. ▸ kapalı kitap yeniden yaz</t>
        </is>
      </c>
      <c r="I424" s="2"/>
      <c r="J424" s="7" t="inlineStr">
        <is>
          <t xml:space="preserve">Not Started</t>
        </is>
      </c>
      <c r="K424" s="7"/>
      <c r="L424" s="3"/>
    </row>
    <row r="425">
      <c r="A425" s="2" t="inlineStr">
        <is>
          <t xml:space="preserve">2026-12-28-03</t>
        </is>
      </c>
      <c r="B425" s="4">
        <v>46384</v>
      </c>
      <c r="C425" s="3" t="inlineStr">
        <is>
          <t xml:space="preserve">Pazartesi</t>
        </is>
      </c>
      <c r="D425" s="3" t="inlineStr">
        <is>
          <t xml:space="preserve">CMPE453</t>
        </is>
      </c>
      <c r="E425" s="3" t="inlineStr">
        <is>
          <t xml:space="preserve">Min</t>
        </is>
      </c>
      <c r="F425" s="3" t="inlineStr">
        <is>
          <t xml:space="preserve">P2</t>
        </is>
      </c>
      <c r="G425" s="6">
        <v>60</v>
      </c>
      <c r="H425" s="2" t="inlineStr">
        <is>
          <t xml:space="preserve">Final: son tur formül/şema/algoritma — tek sayfa özet. ▸ kapalı kitap yeniden yaz</t>
        </is>
      </c>
      <c r="I425" s="2"/>
      <c r="J425" s="7" t="inlineStr">
        <is>
          <t xml:space="preserve">Not Started</t>
        </is>
      </c>
      <c r="K425" s="7"/>
      <c r="L425" s="3"/>
    </row>
    <row r="426">
      <c r="A426" s="2" t="inlineStr">
        <is>
          <t xml:space="preserve">2026-12-29-01</t>
        </is>
      </c>
      <c r="B426" s="4">
        <v>46385</v>
      </c>
      <c r="C426" s="3" t="inlineStr">
        <is>
          <t xml:space="preserve">Salı</t>
        </is>
      </c>
      <c r="D426" s="3" t="inlineStr">
        <is>
          <t xml:space="preserve">CMPE327</t>
        </is>
      </c>
      <c r="E426" s="3" t="inlineStr">
        <is>
          <t xml:space="preserve">Min</t>
        </is>
      </c>
      <c r="F426" s="3" t="inlineStr">
        <is>
          <t xml:space="preserve">P2</t>
        </is>
      </c>
      <c r="G426" s="6">
        <v>45</v>
      </c>
      <c r="H426" s="2" t="inlineStr">
        <is>
          <t xml:space="preserve">Final: yanlış defteri son tur — Mistake Log'da hâlâ tekrar eden hatalar. ▸ 10 soru + hata türü kontrolü</t>
        </is>
      </c>
      <c r="I426" s="2"/>
      <c r="J426" s="7" t="inlineStr">
        <is>
          <t xml:space="preserve">Not Started</t>
        </is>
      </c>
      <c r="K426" s="7"/>
      <c r="L426" s="3"/>
    </row>
    <row r="427">
      <c r="A427" s="2" t="inlineStr">
        <is>
          <t xml:space="preserve">2026-12-29-02</t>
        </is>
      </c>
      <c r="B427" s="4">
        <v>46385</v>
      </c>
      <c r="C427" s="3" t="inlineStr">
        <is>
          <t xml:space="preserve">Salı</t>
        </is>
      </c>
      <c r="D427" s="3" t="inlineStr">
        <is>
          <t xml:space="preserve">BIO110</t>
        </is>
      </c>
      <c r="E427" s="3" t="inlineStr">
        <is>
          <t xml:space="preserve">Min</t>
        </is>
      </c>
      <c r="F427" s="3" t="inlineStr">
        <is>
          <t xml:space="preserve">P3</t>
        </is>
      </c>
      <c r="G427" s="6">
        <v>45</v>
      </c>
      <c r="H427" s="2" t="inlineStr">
        <is>
          <t xml:space="preserve">Final: yanlış defteri son tur — Mistake Log'da hâlâ tekrar eden hatalar. ▸ 10 soru + hata türü kontrolü</t>
        </is>
      </c>
      <c r="I427" s="2"/>
      <c r="J427" s="7" t="inlineStr">
        <is>
          <t xml:space="preserve">Not Started</t>
        </is>
      </c>
      <c r="K427" s="7"/>
      <c r="L427" s="3"/>
    </row>
    <row r="428">
      <c r="A428" s="2" t="inlineStr">
        <is>
          <t xml:space="preserve">2026-12-29-03</t>
        </is>
      </c>
      <c r="B428" s="4">
        <v>46385</v>
      </c>
      <c r="C428" s="3" t="inlineStr">
        <is>
          <t xml:space="preserve">Salı</t>
        </is>
      </c>
      <c r="D428" s="3" t="inlineStr">
        <is>
          <t xml:space="preserve">CMPE371</t>
        </is>
      </c>
      <c r="E428" s="3" t="inlineStr">
        <is>
          <t xml:space="preserve">Min</t>
        </is>
      </c>
      <c r="F428" s="3" t="inlineStr">
        <is>
          <t xml:space="preserve">P1</t>
        </is>
      </c>
      <c r="G428" s="6">
        <v>45</v>
      </c>
      <c r="H428" s="2" t="inlineStr">
        <is>
          <t xml:space="preserve">Final: yanlış defteri son tur — Mistake Log'da hâlâ tekrar eden hatalar. ▸ 10 soru + hata türü kontrolü</t>
        </is>
      </c>
      <c r="I428" s="2"/>
      <c r="J428" s="7" t="inlineStr">
        <is>
          <t xml:space="preserve">Not Started</t>
        </is>
      </c>
      <c r="K428" s="7"/>
      <c r="L428" s="3"/>
    </row>
    <row r="429">
      <c r="A429" s="2" t="inlineStr">
        <is>
          <t xml:space="preserve">2026-12-30-01</t>
        </is>
      </c>
      <c r="B429" s="4">
        <v>46386</v>
      </c>
      <c r="C429" s="3" t="inlineStr">
        <is>
          <t xml:space="preserve">Çarşamba</t>
        </is>
      </c>
      <c r="D429" s="3" t="inlineStr">
        <is>
          <t xml:space="preserve">CMPE421</t>
        </is>
      </c>
      <c r="E429" s="3" t="inlineStr">
        <is>
          <t xml:space="preserve">Min</t>
        </is>
      </c>
      <c r="F429" s="3" t="inlineStr">
        <is>
          <t xml:space="preserve">P3</t>
        </is>
      </c>
      <c r="G429" s="6">
        <v>45</v>
      </c>
      <c r="H429" s="2" t="inlineStr">
        <is>
          <t xml:space="preserve">Final: yanlış defteri son tur — Mistake Log'da hâlâ tekrar eden hatalar. ▸ 10 soru + hata türü kontrolü</t>
        </is>
      </c>
      <c r="I429" s="2"/>
      <c r="J429" s="7" t="inlineStr">
        <is>
          <t xml:space="preserve">Not Started</t>
        </is>
      </c>
      <c r="K429" s="7"/>
      <c r="L429" s="3"/>
    </row>
    <row r="430">
      <c r="A430" s="2" t="inlineStr">
        <is>
          <t xml:space="preserve">2026-12-30-02</t>
        </is>
      </c>
      <c r="B430" s="4">
        <v>46386</v>
      </c>
      <c r="C430" s="3" t="inlineStr">
        <is>
          <t xml:space="preserve">Çarşamba</t>
        </is>
      </c>
      <c r="D430" s="3" t="inlineStr">
        <is>
          <t xml:space="preserve">CMPE453</t>
        </is>
      </c>
      <c r="E430" s="3" t="inlineStr">
        <is>
          <t xml:space="preserve">Min</t>
        </is>
      </c>
      <c r="F430" s="3" t="inlineStr">
        <is>
          <t xml:space="preserve">P2</t>
        </is>
      </c>
      <c r="G430" s="6">
        <v>45</v>
      </c>
      <c r="H430" s="2" t="inlineStr">
        <is>
          <t xml:space="preserve">Final: yanlış defteri son tur — Mistake Log'da hâlâ tekrar eden hatalar. ▸ 10 soru + hata türü kontrolü</t>
        </is>
      </c>
      <c r="I430" s="2"/>
      <c r="J430" s="7" t="inlineStr">
        <is>
          <t xml:space="preserve">Not Started</t>
        </is>
      </c>
      <c r="K430" s="7"/>
      <c r="L430" s="3"/>
    </row>
    <row r="431">
      <c r="A431" s="2" t="inlineStr">
        <is>
          <t xml:space="preserve">2026-12-31-01</t>
        </is>
      </c>
      <c r="B431" s="4">
        <v>46387</v>
      </c>
      <c r="C431" s="3" t="inlineStr">
        <is>
          <t xml:space="preserve">Perşembe</t>
        </is>
      </c>
      <c r="D431" s="3" t="inlineStr">
        <is>
          <t xml:space="preserve">CMPE421</t>
        </is>
      </c>
      <c r="E431" s="3" t="inlineStr">
        <is>
          <t xml:space="preserve">Min</t>
        </is>
      </c>
      <c r="F431" s="3" t="inlineStr">
        <is>
          <t xml:space="preserve">P3</t>
        </is>
      </c>
      <c r="G431" s="6">
        <v>30</v>
      </c>
      <c r="H431" s="2" t="inlineStr">
        <is>
          <t xml:space="preserve">Final: son gün hafif tekrar — yalnızca özet sayfası ve zayıf konu kartları, yeni konu yok. ▸ 20 dk özet + 10 hızlı soru, erken uyu</t>
        </is>
      </c>
      <c r="I431" s="2"/>
      <c r="J431" s="7" t="inlineStr">
        <is>
          <t xml:space="preserve">Not Started</t>
        </is>
      </c>
      <c r="K431" s="7"/>
      <c r="L431" s="3"/>
    </row>
    <row r="432">
      <c r="A432" s="2" t="inlineStr">
        <is>
          <t xml:space="preserve">2026-12-31-02</t>
        </is>
      </c>
      <c r="B432" s="4">
        <v>46387</v>
      </c>
      <c r="C432" s="3" t="inlineStr">
        <is>
          <t xml:space="preserve">Perşembe</t>
        </is>
      </c>
      <c r="D432" s="3" t="inlineStr">
        <is>
          <t xml:space="preserve">CMPE327</t>
        </is>
      </c>
      <c r="E432" s="3" t="inlineStr">
        <is>
          <t xml:space="preserve">Min</t>
        </is>
      </c>
      <c r="F432" s="3" t="inlineStr">
        <is>
          <t xml:space="preserve">P2</t>
        </is>
      </c>
      <c r="G432" s="6">
        <v>30</v>
      </c>
      <c r="H432" s="2" t="inlineStr">
        <is>
          <t xml:space="preserve">Final: son gün hafif tekrar — yalnızca özet sayfası ve zayıf konu kartları, yeni konu yok. ▸ 20 dk özet + 10 hızlı soru, erken uyu</t>
        </is>
      </c>
      <c r="I432" s="2"/>
      <c r="J432" s="7" t="inlineStr">
        <is>
          <t xml:space="preserve">Not Started</t>
        </is>
      </c>
      <c r="K432" s="7"/>
      <c r="L432" s="3"/>
    </row>
    <row r="433">
      <c r="A433" s="2" t="inlineStr">
        <is>
          <t xml:space="preserve">2026-12-31-03</t>
        </is>
      </c>
      <c r="B433" s="4">
        <v>46387</v>
      </c>
      <c r="C433" s="3" t="inlineStr">
        <is>
          <t xml:space="preserve">Perşembe</t>
        </is>
      </c>
      <c r="D433" s="3" t="inlineStr">
        <is>
          <t xml:space="preserve">BIO110</t>
        </is>
      </c>
      <c r="E433" s="3" t="inlineStr">
        <is>
          <t xml:space="preserve">Min</t>
        </is>
      </c>
      <c r="F433" s="3" t="inlineStr">
        <is>
          <t xml:space="preserve">P3</t>
        </is>
      </c>
      <c r="G433" s="6">
        <v>30</v>
      </c>
      <c r="H433" s="2" t="inlineStr">
        <is>
          <t xml:space="preserve">Final: son gün hafif tekrar — yalnızca özet sayfası ve zayıf konu kartları, yeni konu yok. ▸ 20 dk özet + 10 hızlı soru, erken uyu</t>
        </is>
      </c>
      <c r="I433" s="2"/>
      <c r="J433" s="7" t="inlineStr">
        <is>
          <t xml:space="preserve">Not Started</t>
        </is>
      </c>
      <c r="K433" s="7"/>
      <c r="L433" s="3"/>
    </row>
    <row r="434">
      <c r="A434" s="2" t="inlineStr">
        <is>
          <t xml:space="preserve">2026-12-31-04</t>
        </is>
      </c>
      <c r="B434" s="4">
        <v>46387</v>
      </c>
      <c r="C434" s="3" t="inlineStr">
        <is>
          <t xml:space="preserve">Perşembe</t>
        </is>
      </c>
      <c r="D434" s="3" t="inlineStr">
        <is>
          <t xml:space="preserve">CMPE453</t>
        </is>
      </c>
      <c r="E434" s="3" t="inlineStr">
        <is>
          <t xml:space="preserve">Min</t>
        </is>
      </c>
      <c r="F434" s="3" t="inlineStr">
        <is>
          <t xml:space="preserve">P2</t>
        </is>
      </c>
      <c r="G434" s="6">
        <v>30</v>
      </c>
      <c r="H434" s="2" t="inlineStr">
        <is>
          <t xml:space="preserve">Final: son gün hafif tekrar — yalnızca özet sayfası ve zayıf konu kartları, yeni konu yok. ▸ 20 dk özet + 10 hızlı soru, erken uyu</t>
        </is>
      </c>
      <c r="I434" s="2"/>
      <c r="J434" s="7" t="inlineStr">
        <is>
          <t xml:space="preserve">Not Started</t>
        </is>
      </c>
      <c r="K434" s="7"/>
      <c r="L434" s="3"/>
    </row>
    <row r="435">
      <c r="A435" s="2" t="inlineStr">
        <is>
          <t xml:space="preserve">2026-12-31-05</t>
        </is>
      </c>
      <c r="B435" s="4">
        <v>46387</v>
      </c>
      <c r="C435" s="3" t="inlineStr">
        <is>
          <t xml:space="preserve">Perşembe</t>
        </is>
      </c>
      <c r="D435" s="3" t="inlineStr">
        <is>
          <t xml:space="preserve">CMPE371</t>
        </is>
      </c>
      <c r="E435" s="3" t="inlineStr">
        <is>
          <t xml:space="preserve">Min</t>
        </is>
      </c>
      <c r="F435" s="3" t="inlineStr">
        <is>
          <t xml:space="preserve">P1</t>
        </is>
      </c>
      <c r="G435" s="6">
        <v>30</v>
      </c>
      <c r="H435" s="2" t="inlineStr">
        <is>
          <t xml:space="preserve">Final: son gün hafif tekrar — yalnızca özet sayfası ve zayıf konu kartları, yeni konu yok. ▸ 20 dk özet + 10 hızlı soru, erken uyu</t>
        </is>
      </c>
      <c r="I435" s="2"/>
      <c r="J435" s="7" t="inlineStr">
        <is>
          <t xml:space="preserve">Not Started</t>
        </is>
      </c>
      <c r="K435" s="7"/>
      <c r="L435" s="3"/>
    </row>
  </sheetData>
  <autoFilter ref="A1:L435"/>
  <conditionalFormatting sqref="A2:L435">
    <cfRule type="expression" dxfId="0" priority="1">
      <formula>$J2="Completed"</formula>
    </cfRule>
  </conditionalFormatting>
  <conditionalFormatting sqref="A2:L435">
    <cfRule type="expression" dxfId="1" priority="2">
      <formula>$J2="In Progress"</formula>
    </cfRule>
  </conditionalFormatting>
  <conditionalFormatting sqref="A2:L435">
    <cfRule type="expression" dxfId="4" priority="3">
      <formula>$J2="Blocked"</formula>
    </cfRule>
  </conditionalFormatting>
  <conditionalFormatting sqref="A2:L435">
    <cfRule type="expression" dxfId="3" priority="4">
      <formula>$J2="Postponed"</formula>
    </cfRule>
  </conditionalFormatting>
  <conditionalFormatting sqref="A2:L435">
    <cfRule type="expression" dxfId="2" priority="5">
      <formula>AND($J2&lt;&gt;"Completed",$B2&lt;TODAY())</formula>
    </cfRule>
  </conditionalFormatting>
  <dataValidations count="1">
    <dataValidation type="list" allowBlank="1" showErrorMessage="1" sqref="J2:J435">
      <formula1>"Not Started,In Progress,Completed,Postponed,Blocked"</formula1>
    </dataValidation>
  </dataValidations>
  <pageMargins left="0.5" right="0.5" top="0.6" bottom="0.6" header="0.3" footer="0.3"/>
  <pageSetup paperSize="9" orientation="landscape"/>
</worksheet>
</file>

<file path=xl/worksheets/sheet3.xml><?xml version="1.0" encoding="utf-8"?>
<worksheet xmlns="http://schemas.openxmlformats.org/spreadsheetml/2006/main">
  <sheetPr>
    <tabColor rgb="FF2E7D32"/>
  </sheetPr>
  <dimension ref="A1:M11"/>
  <sheetViews>
    <sheetView workbookViewId="0" showGridLines="0"/>
  </sheetViews>
  <sheetFormatPr defaultRowHeight="15"/>
  <cols>
    <col min="1" max="1" width="12" customWidth="1"/>
    <col min="2" max="2" width="13" customWidth="1"/>
    <col min="3" max="3" width="12" customWidth="1"/>
    <col min="4" max="4" width="14" customWidth="1"/>
    <col min="5" max="5" width="11" customWidth="1"/>
    <col min="6" max="6" width="14" customWidth="1"/>
    <col min="7" max="7" width="12" customWidth="1"/>
    <col min="8" max="8" width="14" customWidth="1"/>
    <col min="9" max="9" width="14" customWidth="1"/>
    <col min="10" max="10" width="10" customWidth="1"/>
    <col min="11" max="11" width="12" customWidth="1"/>
    <col min="12" max="12" width="12" customWidth="1"/>
    <col min="13" max="13" width="10" customWidth="1"/>
  </cols>
  <sheetData>
    <row r="1">
      <c r="A1" s="10" t="inlineStr">
        <is>
          <t xml:space="preserve">Ders bazlı ilerleme (görev tamamlanma — öğrenme seviyesi DEĞİL)</t>
        </is>
      </c>
    </row>
    <row r="2">
      <c r="A2" s="11" t="inlineStr">
        <is>
          <t xml:space="preserve">Öğrenme seviyesi için Topic Mastery sayfasına bak. Excel açıldığında TODAY() ile otomatik hesaplanır.</t>
        </is>
      </c>
    </row>
    <row r="4" ht="32" customHeight="1">
      <c r="A4" s="1" t="inlineStr">
        <is>
          <t xml:space="preserve">Ders</t>
        </is>
      </c>
      <c r="B4" s="1" t="inlineStr">
        <is>
          <t xml:space="preserve">Toplam görev</t>
        </is>
      </c>
      <c r="C4" s="1" t="inlineStr">
        <is>
          <t xml:space="preserve">Tamamlanan</t>
        </is>
      </c>
      <c r="D4" s="1" t="inlineStr">
        <is>
          <t xml:space="preserve">% Tamamlanma</t>
        </is>
      </c>
      <c r="E4" s="1" t="inlineStr">
        <is>
          <t xml:space="preserve">Min görev</t>
        </is>
      </c>
      <c r="F4" s="1" t="inlineStr">
        <is>
          <t xml:space="preserve">Min tamamlanan</t>
        </is>
      </c>
      <c r="G4" s="1" t="inlineStr">
        <is>
          <t xml:space="preserve">% Min plan</t>
        </is>
      </c>
      <c r="H4" s="1" t="inlineStr">
        <is>
          <t xml:space="preserve">Planlanan dk</t>
        </is>
      </c>
      <c r="I4" s="1" t="inlineStr">
        <is>
          <t xml:space="preserve">Tamamlanan dk</t>
        </is>
      </c>
      <c r="J4" s="1" t="inlineStr">
        <is>
          <t xml:space="preserve">Geciken</t>
        </is>
      </c>
      <c r="K4" s="1" t="inlineStr">
        <is>
          <t xml:space="preserve">In Progress</t>
        </is>
      </c>
      <c r="L4" s="1" t="inlineStr">
        <is>
          <t xml:space="preserve">Postponed</t>
        </is>
      </c>
      <c r="M4" s="1" t="inlineStr">
        <is>
          <t xml:space="preserve">Blocked</t>
        </is>
      </c>
    </row>
    <row r="5">
      <c r="A5" s="2" t="inlineStr">
        <is>
          <t xml:space="preserve">BIO110</t>
        </is>
      </c>
      <c r="B5" s="6">
        <f>COUNTIFS('Daily Tasks'!$D$2:$D$435,$A5)</f>
        <v>92</v>
      </c>
      <c r="C5" s="6">
        <f>COUNTIFS('Daily Tasks'!$D$2:$D$435,$A5,'Daily Tasks'!$J$2:$J$435,"Completed")</f>
        <v>0</v>
      </c>
      <c r="D5" s="5">
        <f>IF(B5=0,0,C5/B5)</f>
        <v>0.0</v>
      </c>
      <c r="E5" s="6">
        <f>COUNTIFS('Daily Tasks'!$D$2:$D$435,$A5,'Daily Tasks'!$E$2:$E$435,"Min")</f>
        <v>62</v>
      </c>
      <c r="F5" s="6">
        <f>COUNTIFS('Daily Tasks'!$D$2:$D$435,$A5,'Daily Tasks'!$E$2:$E$435,"Min",'Daily Tasks'!$J$2:$J$435,"Completed")</f>
        <v>0</v>
      </c>
      <c r="G5" s="5">
        <f>IF(E5=0,0,F5/E5)</f>
        <v>0.0</v>
      </c>
      <c r="H5" s="6">
        <f>SUMIFS('Daily Tasks'!$G$2:$G$435,'Daily Tasks'!$D$2:$D$435,$A5)</f>
        <v>3815</v>
      </c>
      <c r="I5" s="6">
        <f>SUMIFS('Daily Tasks'!$G$2:$G$435,'Daily Tasks'!$D$2:$D$435,$A5,'Daily Tasks'!$J$2:$J$435,"Completed")</f>
        <v>0</v>
      </c>
      <c r="J5" s="6">
        <f>COUNTIFS('Daily Tasks'!$D$2:$D$435,$A5,'Daily Tasks'!$J$2:$J$435,"&lt;&gt;Completed",'Daily Tasks'!$B$2:$B$435,"&lt;"&amp;TODAY())</f>
      </c>
      <c r="K5" s="6">
        <f>COUNTIFS('Daily Tasks'!$D$2:$D$435,$A5,'Daily Tasks'!$J$2:$J$435,"In Progress")</f>
      </c>
      <c r="L5" s="6">
        <f>COUNTIFS('Daily Tasks'!$D$2:$D$435,$A5,'Daily Tasks'!$J$2:$J$435,"Postponed")</f>
      </c>
      <c r="M5" s="6">
        <f>COUNTIFS('Daily Tasks'!$D$2:$D$435,$A5,'Daily Tasks'!$J$2:$J$435,"Blocked")</f>
      </c>
    </row>
    <row r="6">
      <c r="A6" s="2" t="inlineStr">
        <is>
          <t xml:space="preserve">CMPE371</t>
        </is>
      </c>
      <c r="B6" s="6">
        <f>COUNTIFS('Daily Tasks'!$D$2:$D$435,$A6)</f>
        <v>85</v>
      </c>
      <c r="C6" s="6">
        <f>COUNTIFS('Daily Tasks'!$D$2:$D$435,$A6,'Daily Tasks'!$J$2:$J$435,"Completed")</f>
        <v>0</v>
      </c>
      <c r="D6" s="5">
        <f>IF(B6=0,0,C6/B6)</f>
        <v>0.0</v>
      </c>
      <c r="E6" s="6">
        <f>COUNTIFS('Daily Tasks'!$D$2:$D$435,$A6,'Daily Tasks'!$E$2:$E$435,"Min")</f>
        <v>47</v>
      </c>
      <c r="F6" s="6">
        <f>COUNTIFS('Daily Tasks'!$D$2:$D$435,$A6,'Daily Tasks'!$E$2:$E$435,"Min",'Daily Tasks'!$J$2:$J$435,"Completed")</f>
        <v>0</v>
      </c>
      <c r="G6" s="5">
        <f>IF(E6=0,0,F6/E6)</f>
        <v>0.0</v>
      </c>
      <c r="H6" s="6">
        <f>SUMIFS('Daily Tasks'!$G$2:$G$435,'Daily Tasks'!$D$2:$D$435,$A6)</f>
        <v>3224</v>
      </c>
      <c r="I6" s="6">
        <f>SUMIFS('Daily Tasks'!$G$2:$G$435,'Daily Tasks'!$D$2:$D$435,$A6,'Daily Tasks'!$J$2:$J$435,"Completed")</f>
        <v>0</v>
      </c>
      <c r="J6" s="6">
        <f>COUNTIFS('Daily Tasks'!$D$2:$D$435,$A6,'Daily Tasks'!$J$2:$J$435,"&lt;&gt;Completed",'Daily Tasks'!$B$2:$B$435,"&lt;"&amp;TODAY())</f>
      </c>
      <c r="K6" s="6">
        <f>COUNTIFS('Daily Tasks'!$D$2:$D$435,$A6,'Daily Tasks'!$J$2:$J$435,"In Progress")</f>
      </c>
      <c r="L6" s="6">
        <f>COUNTIFS('Daily Tasks'!$D$2:$D$435,$A6,'Daily Tasks'!$J$2:$J$435,"Postponed")</f>
      </c>
      <c r="M6" s="6">
        <f>COUNTIFS('Daily Tasks'!$D$2:$D$435,$A6,'Daily Tasks'!$J$2:$J$435,"Blocked")</f>
      </c>
    </row>
    <row r="7">
      <c r="A7" s="2" t="inlineStr">
        <is>
          <t xml:space="preserve">CMPE327</t>
        </is>
      </c>
      <c r="B7" s="6">
        <f>COUNTIFS('Daily Tasks'!$D$2:$D$435,$A7)</f>
        <v>91</v>
      </c>
      <c r="C7" s="6">
        <f>COUNTIFS('Daily Tasks'!$D$2:$D$435,$A7,'Daily Tasks'!$J$2:$J$435,"Completed")</f>
        <v>0</v>
      </c>
      <c r="D7" s="5">
        <f>IF(B7=0,0,C7/B7)</f>
        <v>0.0</v>
      </c>
      <c r="E7" s="6">
        <f>COUNTIFS('Daily Tasks'!$D$2:$D$435,$A7,'Daily Tasks'!$E$2:$E$435,"Min")</f>
        <v>54</v>
      </c>
      <c r="F7" s="6">
        <f>COUNTIFS('Daily Tasks'!$D$2:$D$435,$A7,'Daily Tasks'!$E$2:$E$435,"Min",'Daily Tasks'!$J$2:$J$435,"Completed")</f>
        <v>0</v>
      </c>
      <c r="G7" s="5">
        <f>IF(E7=0,0,F7/E7)</f>
        <v>0.0</v>
      </c>
      <c r="H7" s="6">
        <f>SUMIFS('Daily Tasks'!$G$2:$G$435,'Daily Tasks'!$D$2:$D$435,$A7)</f>
        <v>2946</v>
      </c>
      <c r="I7" s="6">
        <f>SUMIFS('Daily Tasks'!$G$2:$G$435,'Daily Tasks'!$D$2:$D$435,$A7,'Daily Tasks'!$J$2:$J$435,"Completed")</f>
        <v>0</v>
      </c>
      <c r="J7" s="6">
        <f>COUNTIFS('Daily Tasks'!$D$2:$D$435,$A7,'Daily Tasks'!$J$2:$J$435,"&lt;&gt;Completed",'Daily Tasks'!$B$2:$B$435,"&lt;"&amp;TODAY())</f>
      </c>
      <c r="K7" s="6">
        <f>COUNTIFS('Daily Tasks'!$D$2:$D$435,$A7,'Daily Tasks'!$J$2:$J$435,"In Progress")</f>
      </c>
      <c r="L7" s="6">
        <f>COUNTIFS('Daily Tasks'!$D$2:$D$435,$A7,'Daily Tasks'!$J$2:$J$435,"Postponed")</f>
      </c>
      <c r="M7" s="6">
        <f>COUNTIFS('Daily Tasks'!$D$2:$D$435,$A7,'Daily Tasks'!$J$2:$J$435,"Blocked")</f>
      </c>
    </row>
    <row r="8">
      <c r="A8" s="2" t="inlineStr">
        <is>
          <t xml:space="preserve">CMPE421</t>
        </is>
      </c>
      <c r="B8" s="6">
        <f>COUNTIFS('Daily Tasks'!$D$2:$D$435,$A8)</f>
        <v>77</v>
      </c>
      <c r="C8" s="6">
        <f>COUNTIFS('Daily Tasks'!$D$2:$D$435,$A8,'Daily Tasks'!$J$2:$J$435,"Completed")</f>
        <v>0</v>
      </c>
      <c r="D8" s="5">
        <f>IF(B8=0,0,C8/B8)</f>
        <v>0.0</v>
      </c>
      <c r="E8" s="6">
        <f>COUNTIFS('Daily Tasks'!$D$2:$D$435,$A8,'Daily Tasks'!$E$2:$E$435,"Min")</f>
        <v>44</v>
      </c>
      <c r="F8" s="6">
        <f>COUNTIFS('Daily Tasks'!$D$2:$D$435,$A8,'Daily Tasks'!$E$2:$E$435,"Min",'Daily Tasks'!$J$2:$J$435,"Completed")</f>
        <v>0</v>
      </c>
      <c r="G8" s="5">
        <f>IF(E8=0,0,F8/E8)</f>
        <v>0.0</v>
      </c>
      <c r="H8" s="6">
        <f>SUMIFS('Daily Tasks'!$G$2:$G$435,'Daily Tasks'!$D$2:$D$435,$A8)</f>
        <v>2510</v>
      </c>
      <c r="I8" s="6">
        <f>SUMIFS('Daily Tasks'!$G$2:$G$435,'Daily Tasks'!$D$2:$D$435,$A8,'Daily Tasks'!$J$2:$J$435,"Completed")</f>
        <v>0</v>
      </c>
      <c r="J8" s="6">
        <f>COUNTIFS('Daily Tasks'!$D$2:$D$435,$A8,'Daily Tasks'!$J$2:$J$435,"&lt;&gt;Completed",'Daily Tasks'!$B$2:$B$435,"&lt;"&amp;TODAY())</f>
      </c>
      <c r="K8" s="6">
        <f>COUNTIFS('Daily Tasks'!$D$2:$D$435,$A8,'Daily Tasks'!$J$2:$J$435,"In Progress")</f>
      </c>
      <c r="L8" s="6">
        <f>COUNTIFS('Daily Tasks'!$D$2:$D$435,$A8,'Daily Tasks'!$J$2:$J$435,"Postponed")</f>
      </c>
      <c r="M8" s="6">
        <f>COUNTIFS('Daily Tasks'!$D$2:$D$435,$A8,'Daily Tasks'!$J$2:$J$435,"Blocked")</f>
      </c>
    </row>
    <row r="9">
      <c r="A9" s="2" t="inlineStr">
        <is>
          <t xml:space="preserve">CMPE453</t>
        </is>
      </c>
      <c r="B9" s="6">
        <f>COUNTIFS('Daily Tasks'!$D$2:$D$435,$A9)</f>
        <v>68</v>
      </c>
      <c r="C9" s="6">
        <f>COUNTIFS('Daily Tasks'!$D$2:$D$435,$A9,'Daily Tasks'!$J$2:$J$435,"Completed")</f>
        <v>0</v>
      </c>
      <c r="D9" s="5">
        <f>IF(B9=0,0,C9/B9)</f>
        <v>0.0</v>
      </c>
      <c r="E9" s="6">
        <f>COUNTIFS('Daily Tasks'!$D$2:$D$435,$A9,'Daily Tasks'!$E$2:$E$435,"Min")</f>
        <v>42</v>
      </c>
      <c r="F9" s="6">
        <f>COUNTIFS('Daily Tasks'!$D$2:$D$435,$A9,'Daily Tasks'!$E$2:$E$435,"Min",'Daily Tasks'!$J$2:$J$435,"Completed")</f>
        <v>0</v>
      </c>
      <c r="G9" s="5">
        <f>IF(E9=0,0,F9/E9)</f>
        <v>0.0</v>
      </c>
      <c r="H9" s="6">
        <f>SUMIFS('Daily Tasks'!$G$2:$G$435,'Daily Tasks'!$D$2:$D$435,$A9)</f>
        <v>2171</v>
      </c>
      <c r="I9" s="6">
        <f>SUMIFS('Daily Tasks'!$G$2:$G$435,'Daily Tasks'!$D$2:$D$435,$A9,'Daily Tasks'!$J$2:$J$435,"Completed")</f>
        <v>0</v>
      </c>
      <c r="J9" s="6">
        <f>COUNTIFS('Daily Tasks'!$D$2:$D$435,$A9,'Daily Tasks'!$J$2:$J$435,"&lt;&gt;Completed",'Daily Tasks'!$B$2:$B$435,"&lt;"&amp;TODAY())</f>
      </c>
      <c r="K9" s="6">
        <f>COUNTIFS('Daily Tasks'!$D$2:$D$435,$A9,'Daily Tasks'!$J$2:$J$435,"In Progress")</f>
      </c>
      <c r="L9" s="6">
        <f>COUNTIFS('Daily Tasks'!$D$2:$D$435,$A9,'Daily Tasks'!$J$2:$J$435,"Postponed")</f>
      </c>
      <c r="M9" s="6">
        <f>COUNTIFS('Daily Tasks'!$D$2:$D$435,$A9,'Daily Tasks'!$J$2:$J$435,"Blocked")</f>
      </c>
    </row>
    <row r="10">
      <c r="A10" s="2" t="inlineStr">
        <is>
          <t xml:space="preserve">CMPE499</t>
        </is>
      </c>
      <c r="B10" s="6">
        <f>COUNTIFS('Daily Tasks'!$D$2:$D$435,$A10)</f>
        <v>18</v>
      </c>
      <c r="C10" s="6">
        <f>COUNTIFS('Daily Tasks'!$D$2:$D$435,$A10,'Daily Tasks'!$J$2:$J$435,"Completed")</f>
        <v>0</v>
      </c>
      <c r="D10" s="5">
        <f>IF(B10=0,0,C10/B10)</f>
        <v>0.0</v>
      </c>
      <c r="E10" s="6">
        <f>COUNTIFS('Daily Tasks'!$D$2:$D$435,$A10,'Daily Tasks'!$E$2:$E$435,"Min")</f>
        <v>11</v>
      </c>
      <c r="F10" s="6">
        <f>COUNTIFS('Daily Tasks'!$D$2:$D$435,$A10,'Daily Tasks'!$E$2:$E$435,"Min",'Daily Tasks'!$J$2:$J$435,"Completed")</f>
        <v>0</v>
      </c>
      <c r="G10" s="5">
        <f>IF(E10=0,0,F10/E10)</f>
        <v>0.0</v>
      </c>
      <c r="H10" s="6">
        <f>SUMIFS('Daily Tasks'!$G$2:$G$435,'Daily Tasks'!$D$2:$D$435,$A10)</f>
        <v>905</v>
      </c>
      <c r="I10" s="6">
        <f>SUMIFS('Daily Tasks'!$G$2:$G$435,'Daily Tasks'!$D$2:$D$435,$A10,'Daily Tasks'!$J$2:$J$435,"Completed")</f>
        <v>0</v>
      </c>
      <c r="J10" s="6">
        <f>COUNTIFS('Daily Tasks'!$D$2:$D$435,$A10,'Daily Tasks'!$J$2:$J$435,"&lt;&gt;Completed",'Daily Tasks'!$B$2:$B$435,"&lt;"&amp;TODAY())</f>
      </c>
      <c r="K10" s="6">
        <f>COUNTIFS('Daily Tasks'!$D$2:$D$435,$A10,'Daily Tasks'!$J$2:$J$435,"In Progress")</f>
      </c>
      <c r="L10" s="6">
        <f>COUNTIFS('Daily Tasks'!$D$2:$D$435,$A10,'Daily Tasks'!$J$2:$J$435,"Postponed")</f>
      </c>
      <c r="M10" s="6">
        <f>COUNTIFS('Daily Tasks'!$D$2:$D$435,$A10,'Daily Tasks'!$J$2:$J$435,"Blocked")</f>
      </c>
    </row>
    <row r="11">
      <c r="A11" s="13" t="inlineStr">
        <is>
          <t xml:space="preserve">TOPLAM</t>
        </is>
      </c>
      <c r="B11" s="17">
        <f>SUM(B5:B10)</f>
      </c>
      <c r="C11" s="17">
        <f>SUM(C5:C10)</f>
      </c>
      <c r="D11" s="18">
        <f>IF(B11=0,0,C11/B11)</f>
      </c>
      <c r="E11" s="17">
        <f>SUM(E5:E10)</f>
      </c>
      <c r="F11" s="17">
        <f>SUM(F5:F10)</f>
      </c>
      <c r="G11" s="18">
        <f>IF(E11=0,0,F11/E11)</f>
      </c>
      <c r="H11" s="17">
        <f>SUM(H5:H10)</f>
      </c>
      <c r="I11" s="17">
        <f>SUM(I5:I10)</f>
      </c>
      <c r="J11" s="17">
        <f>SUM(J5:J10)</f>
      </c>
      <c r="K11" s="17">
        <f>SUM(K5:K10)</f>
      </c>
      <c r="L11" s="17">
        <f>SUM(L5:L10)</f>
      </c>
      <c r="M11" s="17">
        <f>SUM(M5:M10)</f>
      </c>
    </row>
  </sheetData>
  <conditionalFormatting sqref="D5:D10">
    <cfRule type="dataBar" priority="1">
      <dataBar>
        <cfvo type="num" val="0"/>
        <cfvo type="num" val="1"/>
        <color rgb="FF22C55E"/>
      </dataBar>
    </cfRule>
  </conditionalFormatting>
  <conditionalFormatting sqref="G5:G10">
    <cfRule type="dataBar" priority="2">
      <dataBar>
        <cfvo type="num" val="0"/>
        <cfvo type="num" val="1"/>
        <color rgb="FF22C55E"/>
      </dataBar>
    </cfRule>
  </conditionalFormatting>
  <conditionalFormatting sqref="J5:J10">
    <cfRule type="expression" dxfId="2" priority="3">
      <formula>$J5&gt;0</formula>
    </cfRule>
  </conditionalFormatting>
  <pageMargins left="0.5" right="0.5" top="0.6" bottom="0.6" header="0.3" footer="0.3"/>
  <pageSetup paperSize="9" orientation="landscape"/>
</worksheet>
</file>

<file path=xl/worksheets/sheet4.xml><?xml version="1.0" encoding="utf-8"?>
<worksheet xmlns="http://schemas.openxmlformats.org/spreadsheetml/2006/main">
  <sheetPr>
    <tabColor rgb="FF6A1B9A"/>
  </sheetPr>
  <dimension ref="A1:G87"/>
  <sheetViews>
    <sheetView workbookViewId="0" showGridLines="0">
      <pane ySplit="4" topLeftCell="A5" activePane="bottomLeft" state="frozen"/>
    </sheetView>
  </sheetViews>
  <sheetFormatPr defaultRowHeight="15"/>
  <cols>
    <col min="1" max="1" width="11" customWidth="1"/>
    <col min="2" max="2" width="52" customWidth="1"/>
    <col min="3" max="3" width="12" customWidth="1"/>
    <col min="4" max="4" width="12" customWidth="1"/>
    <col min="5" max="5" width="14" customWidth="1"/>
    <col min="6" max="6" width="22" customWidth="1"/>
    <col min="7" max="7" width="36" customWidth="1"/>
  </cols>
  <sheetData>
    <row r="1">
      <c r="A1" s="10" t="inlineStr">
        <is>
          <t xml:space="preserve">Konu öğrenme seviyesi (kendi test sonucunla doldur — sarı alanlar)</t>
        </is>
      </c>
    </row>
    <row r="2">
      <c r="A2" s="11" t="inlineStr">
        <is>
          <t xml:space="preserve">%85–100 Güçlü · %70–84 İyi ama tekrar gerekli · %50–69 Eksik · %0–49 Önkoşul + konu yeniden. Başlangıç çalışma politikasıdır, başarı garantisi değildir.</t>
        </is>
      </c>
    </row>
    <row r="4">
      <c r="A4" s="1" t="inlineStr">
        <is>
          <t xml:space="preserve">Ders</t>
        </is>
      </c>
      <c r="B4" s="1" t="inlineStr">
        <is>
          <t xml:space="preserve">Konu / Blok</t>
        </is>
      </c>
      <c r="C4" s="1" t="inlineStr">
        <is>
          <t xml:space="preserve">İlk öğrenme</t>
        </is>
      </c>
      <c r="D4" s="1" t="inlineStr">
        <is>
          <t xml:space="preserve">Son tekrar</t>
        </is>
      </c>
      <c r="E4" s="1" t="inlineStr">
        <is>
          <t xml:space="preserve">Öğrenme skoru %</t>
        </is>
      </c>
      <c r="F4" s="1" t="inlineStr">
        <is>
          <t xml:space="preserve">Seviye</t>
        </is>
      </c>
      <c r="G4" s="1" t="inlineStr">
        <is>
          <t xml:space="preserve">Notlar</t>
        </is>
      </c>
    </row>
    <row r="5">
      <c r="A5" s="3" t="inlineStr">
        <is>
          <t xml:space="preserve">BIO110</t>
        </is>
      </c>
      <c r="B5" s="2" t="inlineStr">
        <is>
          <t xml:space="preserve">B01 · The Chemical Context of Life</t>
        </is>
      </c>
      <c r="C5" s="4">
        <v>46325</v>
      </c>
      <c r="D5" s="8"/>
      <c r="E5" s="9"/>
      <c r="F5" s="3" t="str">
        <f>IF(E5="","",IF(E5&gt;=0.85,"Güçlü",IF(E5&gt;=0.7,"İyi — tekrar gerekli",IF(E5&gt;=0.5,"Eksik","Yeniden çalış"))))</f>
        <v/>
      </c>
      <c r="G5" s="7"/>
    </row>
    <row r="6">
      <c r="A6" s="3" t="inlineStr">
        <is>
          <t xml:space="preserve">BIO110</t>
        </is>
      </c>
      <c r="B6" s="2" t="inlineStr">
        <is>
          <t xml:space="preserve">B02 · Water and Life</t>
        </is>
      </c>
      <c r="C6" s="4">
        <v>46325</v>
      </c>
      <c r="D6" s="8"/>
      <c r="E6" s="9"/>
      <c r="F6" s="3" t="str">
        <f>IF(E6="","",IF(E6&gt;=0.85,"Güçlü",IF(E6&gt;=0.7,"İyi — tekrar gerekli",IF(E6&gt;=0.5,"Eksik","Yeniden çalış"))))</f>
        <v/>
      </c>
      <c r="G6" s="7"/>
    </row>
    <row r="7">
      <c r="A7" s="3" t="inlineStr">
        <is>
          <t xml:space="preserve">BIO110</t>
        </is>
      </c>
      <c r="B7" s="2" t="inlineStr">
        <is>
          <t xml:space="preserve">B03 · Carbon and Molecular Diversity</t>
        </is>
      </c>
      <c r="C7" s="4">
        <v>46325</v>
      </c>
      <c r="D7" s="8"/>
      <c r="E7" s="9"/>
      <c r="F7" s="3" t="str">
        <f>IF(E7="","",IF(E7&gt;=0.85,"Güçlü",IF(E7&gt;=0.7,"İyi — tekrar gerekli",IF(E7&gt;=0.5,"Eksik","Yeniden çalış"))))</f>
        <v/>
      </c>
      <c r="G7" s="7"/>
    </row>
    <row r="8">
      <c r="A8" s="3" t="inlineStr">
        <is>
          <t xml:space="preserve">BIO110</t>
        </is>
      </c>
      <c r="B8" s="2" t="inlineStr">
        <is>
          <t xml:space="preserve">B04a · Büyük moleküller I: karbonhidrat + lipid</t>
        </is>
      </c>
      <c r="C8" s="4">
        <v>46326</v>
      </c>
      <c r="D8" s="8"/>
      <c r="E8" s="9"/>
      <c r="F8" s="3" t="str">
        <f>IF(E8="","",IF(E8&gt;=0.85,"Güçlü",IF(E8&gt;=0.7,"İyi — tekrar gerekli",IF(E8&gt;=0.5,"Eksik","Yeniden çalış"))))</f>
        <v/>
      </c>
      <c r="G8" s="7"/>
    </row>
    <row r="9">
      <c r="A9" s="3" t="inlineStr">
        <is>
          <t xml:space="preserve">BIO110</t>
        </is>
      </c>
      <c r="B9" s="2" t="inlineStr">
        <is>
          <t xml:space="preserve">B04b · Büyük moleküller II: protein + nükleik asit</t>
        </is>
      </c>
      <c r="C9" s="4">
        <v>46326</v>
      </c>
      <c r="D9" s="8"/>
      <c r="E9" s="9"/>
      <c r="F9" s="3" t="str">
        <f>IF(E9="","",IF(E9&gt;=0.85,"Güçlü",IF(E9&gt;=0.7,"İyi — tekrar gerekli",IF(E9&gt;=0.5,"Eksik","Yeniden çalış"))))</f>
        <v/>
      </c>
      <c r="G9" s="7"/>
    </row>
    <row r="10">
      <c r="A10" s="3" t="inlineStr">
        <is>
          <t xml:space="preserve">BIO110</t>
        </is>
      </c>
      <c r="B10" s="2" t="inlineStr">
        <is>
          <t xml:space="preserve">B05a · Hücre turu I</t>
        </is>
      </c>
      <c r="C10" s="4">
        <v>46326</v>
      </c>
      <c r="D10" s="8"/>
      <c r="E10" s="9"/>
      <c r="F10" s="3" t="str">
        <f>IF(E10="","",IF(E10&gt;=0.85,"Güçlü",IF(E10&gt;=0.7,"İyi — tekrar gerekli",IF(E10&gt;=0.5,"Eksik","Yeniden çalış"))))</f>
        <v/>
      </c>
      <c r="G10" s="7"/>
    </row>
    <row r="11">
      <c r="A11" s="3" t="inlineStr">
        <is>
          <t xml:space="preserve">BIO110</t>
        </is>
      </c>
      <c r="B11" s="2" t="inlineStr">
        <is>
          <t xml:space="preserve">B05b · Hücre turu II</t>
        </is>
      </c>
      <c r="C11" s="4">
        <v>46327</v>
      </c>
      <c r="D11" s="8"/>
      <c r="E11" s="9"/>
      <c r="F11" s="3" t="str">
        <f>IF(E11="","",IF(E11&gt;=0.85,"Güçlü",IF(E11&gt;=0.7,"İyi — tekrar gerekli",IF(E11&gt;=0.5,"Eksik","Yeniden çalış"))))</f>
        <v/>
      </c>
      <c r="G11" s="7"/>
    </row>
    <row r="12">
      <c r="A12" s="3" t="inlineStr">
        <is>
          <t xml:space="preserve">BIO110</t>
        </is>
      </c>
      <c r="B12" s="2" t="inlineStr">
        <is>
          <t xml:space="preserve">B06 · Membrane Structure and Function</t>
        </is>
      </c>
      <c r="C12" s="4">
        <v>46327</v>
      </c>
      <c r="D12" s="8"/>
      <c r="E12" s="9"/>
      <c r="F12" s="3" t="str">
        <f>IF(E12="","",IF(E12&gt;=0.85,"Güçlü",IF(E12&gt;=0.7,"İyi — tekrar gerekli",IF(E12&gt;=0.5,"Eksik","Yeniden çalış"))))</f>
        <v/>
      </c>
      <c r="G12" s="7"/>
    </row>
    <row r="13">
      <c r="A13" s="3" t="inlineStr">
        <is>
          <t xml:space="preserve">BIO110</t>
        </is>
      </c>
      <c r="B13" s="2" t="inlineStr">
        <is>
          <t xml:space="preserve">B07 · An Introduction to Metabolism</t>
        </is>
      </c>
      <c r="C13" s="4">
        <v>46327</v>
      </c>
      <c r="D13" s="8"/>
      <c r="E13" s="9"/>
      <c r="F13" s="3" t="str">
        <f>IF(E13="","",IF(E13&gt;=0.85,"Güçlü",IF(E13&gt;=0.7,"İyi — tekrar gerekli",IF(E13&gt;=0.5,"Eksik","Yeniden çalış"))))</f>
        <v/>
      </c>
      <c r="G13" s="7"/>
    </row>
    <row r="14">
      <c r="A14" s="3" t="inlineStr">
        <is>
          <t xml:space="preserve">BIO110</t>
        </is>
      </c>
      <c r="B14" s="2" t="inlineStr">
        <is>
          <t xml:space="preserve">B08 · Cellular Respiration</t>
        </is>
      </c>
      <c r="C14" s="4">
        <v>46327</v>
      </c>
      <c r="D14" s="8"/>
      <c r="E14" s="9"/>
      <c r="F14" s="3" t="str">
        <f>IF(E14="","",IF(E14&gt;=0.85,"Güçlü",IF(E14&gt;=0.7,"İyi — tekrar gerekli",IF(E14&gt;=0.5,"Eksik","Yeniden çalış"))))</f>
        <v/>
      </c>
      <c r="G14" s="7"/>
    </row>
    <row r="15">
      <c r="A15" s="3" t="inlineStr">
        <is>
          <t xml:space="preserve">BIO110</t>
        </is>
      </c>
      <c r="B15" s="2" t="inlineStr">
        <is>
          <t xml:space="preserve">B09 · Photosynthesis</t>
        </is>
      </c>
      <c r="C15" s="4">
        <v>46328</v>
      </c>
      <c r="D15" s="8"/>
      <c r="E15" s="9"/>
      <c r="F15" s="3" t="str">
        <f>IF(E15="","",IF(E15&gt;=0.85,"Güçlü",IF(E15&gt;=0.7,"İyi — tekrar gerekli",IF(E15&gt;=0.5,"Eksik","Yeniden çalış"))))</f>
        <v/>
      </c>
      <c r="G15" s="7"/>
    </row>
    <row r="16">
      <c r="A16" s="3" t="inlineStr">
        <is>
          <t xml:space="preserve">BIO110</t>
        </is>
      </c>
      <c r="B16" s="2" t="inlineStr">
        <is>
          <t xml:space="preserve">B10 · The Cell Cycle and Cellular Reproduction</t>
        </is>
      </c>
      <c r="C16" s="4">
        <v>46339</v>
      </c>
      <c r="D16" s="8"/>
      <c r="E16" s="9"/>
      <c r="F16" s="3" t="str">
        <f>IF(E16="","",IF(E16&gt;=0.85,"Güçlü",IF(E16&gt;=0.7,"İyi — tekrar gerekli",IF(E16&gt;=0.5,"Eksik","Yeniden çalış"))))</f>
        <v/>
      </c>
      <c r="G16" s="7"/>
    </row>
    <row r="17">
      <c r="A17" s="3" t="inlineStr">
        <is>
          <t xml:space="preserve">BIO110</t>
        </is>
      </c>
      <c r="B17" s="2" t="inlineStr">
        <is>
          <t xml:space="preserve">B11 · Mendel and the Gene Idea</t>
        </is>
      </c>
      <c r="C17" s="4">
        <v>46340</v>
      </c>
      <c r="D17" s="8"/>
      <c r="E17" s="9"/>
      <c r="F17" s="3" t="str">
        <f>IF(E17="","",IF(E17&gt;=0.85,"Güçlü",IF(E17&gt;=0.7,"İyi — tekrar gerekli",IF(E17&gt;=0.5,"Eksik","Yeniden çalış"))))</f>
        <v/>
      </c>
      <c r="G17" s="7"/>
    </row>
    <row r="18">
      <c r="A18" s="3" t="inlineStr">
        <is>
          <t xml:space="preserve">BIO110</t>
        </is>
      </c>
      <c r="B18" s="2" t="inlineStr">
        <is>
          <t xml:space="preserve">B12 · Chromosomal Basis of Inheritance</t>
        </is>
      </c>
      <c r="C18" s="4">
        <v>46341</v>
      </c>
      <c r="D18" s="8"/>
      <c r="E18" s="9"/>
      <c r="F18" s="3" t="str">
        <f>IF(E18="","",IF(E18&gt;=0.85,"Güçlü",IF(E18&gt;=0.7,"İyi — tekrar gerekli",IF(E18&gt;=0.5,"Eksik","Yeniden çalış"))))</f>
        <v/>
      </c>
      <c r="G18" s="7"/>
    </row>
    <row r="19">
      <c r="A19" s="3" t="inlineStr">
        <is>
          <t xml:space="preserve">BIO110</t>
        </is>
      </c>
      <c r="B19" s="2" t="inlineStr">
        <is>
          <t xml:space="preserve">B13 · Molecular Basis of Inheritance</t>
        </is>
      </c>
      <c r="C19" s="4">
        <v>46342</v>
      </c>
      <c r="D19" s="8"/>
      <c r="E19" s="9"/>
      <c r="F19" s="3" t="str">
        <f>IF(E19="","",IF(E19&gt;=0.85,"Güçlü",IF(E19&gt;=0.7,"İyi — tekrar gerekli",IF(E19&gt;=0.5,"Eksik","Yeniden çalış"))))</f>
        <v/>
      </c>
      <c r="G19" s="7"/>
    </row>
    <row r="20">
      <c r="A20" s="3" t="inlineStr">
        <is>
          <t xml:space="preserve">BIO110</t>
        </is>
      </c>
      <c r="B20" s="2" t="inlineStr">
        <is>
          <t xml:space="preserve">B14 · Gene Expression: Gene to Protein</t>
        </is>
      </c>
      <c r="C20" s="4">
        <v>46343</v>
      </c>
      <c r="D20" s="8"/>
      <c r="E20" s="9"/>
      <c r="F20" s="3" t="str">
        <f>IF(E20="","",IF(E20&gt;=0.85,"Güçlü",IF(E20&gt;=0.7,"İyi — tekrar gerekli",IF(E20&gt;=0.5,"Eksik","Yeniden çalış"))))</f>
        <v/>
      </c>
      <c r="G20" s="7"/>
    </row>
    <row r="21">
      <c r="A21" s="3" t="inlineStr">
        <is>
          <t xml:space="preserve">BIO110</t>
        </is>
      </c>
      <c r="B21" s="2" t="inlineStr">
        <is>
          <t xml:space="preserve">B15 · Regulation of Gene Expression</t>
        </is>
      </c>
      <c r="C21" s="4">
        <v>46344</v>
      </c>
      <c r="D21" s="8"/>
      <c r="E21" s="9"/>
      <c r="F21" s="3" t="str">
        <f>IF(E21="","",IF(E21&gt;=0.85,"Güçlü",IF(E21&gt;=0.7,"İyi — tekrar gerekli",IF(E21&gt;=0.5,"Eksik","Yeniden çalış"))))</f>
        <v/>
      </c>
      <c r="G21" s="7"/>
    </row>
    <row r="22">
      <c r="A22" s="3" t="inlineStr">
        <is>
          <t xml:space="preserve">BIO110</t>
        </is>
      </c>
      <c r="B22" s="2" t="inlineStr">
        <is>
          <t xml:space="preserve">B16 · DNA Tools and Biotechnology</t>
        </is>
      </c>
      <c r="C22" s="4">
        <v>46345</v>
      </c>
      <c r="D22" s="8"/>
      <c r="E22" s="9"/>
      <c r="F22" s="3" t="str">
        <f>IF(E22="","",IF(E22&gt;=0.85,"Güçlü",IF(E22&gt;=0.7,"İyi — tekrar gerekli",IF(E22&gt;=0.5,"Eksik","Yeniden çalış"))))</f>
        <v/>
      </c>
      <c r="G22" s="7"/>
    </row>
    <row r="23">
      <c r="A23" s="3" t="inlineStr">
        <is>
          <t xml:space="preserve">BIO110</t>
        </is>
      </c>
      <c r="B23" s="2" t="inlineStr">
        <is>
          <t xml:space="preserve">B17 · Descent with Modification</t>
        </is>
      </c>
      <c r="C23" s="4">
        <v>46355</v>
      </c>
      <c r="D23" s="8"/>
      <c r="E23" s="9"/>
      <c r="F23" s="3" t="str">
        <f>IF(E23="","",IF(E23&gt;=0.85,"Güçlü",IF(E23&gt;=0.7,"İyi — tekrar gerekli",IF(E23&gt;=0.5,"Eksik","Yeniden çalış"))))</f>
        <v/>
      </c>
      <c r="G23" s="7"/>
    </row>
    <row r="24">
      <c r="A24" s="3" t="inlineStr">
        <is>
          <t xml:space="preserve">BIO110</t>
        </is>
      </c>
      <c r="B24" s="2" t="inlineStr">
        <is>
          <t xml:space="preserve">B18 · The Evolution of Populations</t>
        </is>
      </c>
      <c r="C24" s="4">
        <v>46357</v>
      </c>
      <c r="D24" s="8"/>
      <c r="E24" s="9"/>
      <c r="F24" s="3" t="str">
        <f>IF(E24="","",IF(E24&gt;=0.85,"Güçlü",IF(E24&gt;=0.7,"İyi — tekrar gerekli",IF(E24&gt;=0.5,"Eksik","Yeniden çalış"))))</f>
        <v/>
      </c>
      <c r="G24" s="7"/>
    </row>
    <row r="25">
      <c r="A25" s="3" t="inlineStr">
        <is>
          <t xml:space="preserve">CMPE371</t>
        </is>
      </c>
      <c r="B25" s="2" t="inlineStr">
        <is>
          <t xml:space="preserve">S0a · Önkoşul: karmaşık sayılar ve Euler</t>
        </is>
      </c>
      <c r="C25" s="4">
        <v>46325</v>
      </c>
      <c r="D25" s="8"/>
      <c r="E25" s="9"/>
      <c r="F25" s="3" t="str">
        <f>IF(E25="","",IF(E25&gt;=0.85,"Güçlü",IF(E25&gt;=0.7,"İyi — tekrar gerekli",IF(E25&gt;=0.5,"Eksik","Yeniden çalış"))))</f>
        <v/>
      </c>
      <c r="G25" s="7"/>
    </row>
    <row r="26">
      <c r="A26" s="3" t="inlineStr">
        <is>
          <t xml:space="preserve">CMPE371</t>
        </is>
      </c>
      <c r="B26" s="2" t="inlineStr">
        <is>
          <t xml:space="preserve">S0b · Önkoşul: trigonometri, üstel, türev/integral</t>
        </is>
      </c>
      <c r="C26" s="4">
        <v>46326</v>
      </c>
      <c r="D26" s="8"/>
      <c r="E26" s="9"/>
      <c r="F26" s="3" t="str">
        <f>IF(E26="","",IF(E26&gt;=0.85,"Güçlü",IF(E26&gt;=0.7,"İyi — tekrar gerekli",IF(E26&gt;=0.5,"Eksik","Yeniden çalış"))))</f>
        <v/>
      </c>
      <c r="G26" s="7"/>
    </row>
    <row r="27">
      <c r="A27" s="3" t="inlineStr">
        <is>
          <t xml:space="preserve">CMPE371</t>
        </is>
      </c>
      <c r="B27" s="2" t="inlineStr">
        <is>
          <t xml:space="preserve">S1 · Introduction to Signals and Systems</t>
        </is>
      </c>
      <c r="C27" s="4">
        <v>46327</v>
      </c>
      <c r="D27" s="8"/>
      <c r="E27" s="9"/>
      <c r="F27" s="3" t="str">
        <f>IF(E27="","",IF(E27&gt;=0.85,"Güçlü",IF(E27&gt;=0.7,"İyi — tekrar gerekli",IF(E27&gt;=0.5,"Eksik","Yeniden çalış"))))</f>
        <v/>
      </c>
      <c r="G27" s="7"/>
    </row>
    <row r="28">
      <c r="A28" s="3" t="inlineStr">
        <is>
          <t xml:space="preserve">CMPE371</t>
        </is>
      </c>
      <c r="B28" s="2" t="inlineStr">
        <is>
          <t xml:space="preserve">S2 · Sinusoids</t>
        </is>
      </c>
      <c r="C28" s="4">
        <v>46328</v>
      </c>
      <c r="D28" s="8"/>
      <c r="E28" s="9"/>
      <c r="F28" s="3" t="str">
        <f>IF(E28="","",IF(E28&gt;=0.85,"Güçlü",IF(E28&gt;=0.7,"İyi — tekrar gerekli",IF(E28&gt;=0.5,"Eksik","Yeniden çalış"))))</f>
        <v/>
      </c>
      <c r="G28" s="7"/>
    </row>
    <row r="29">
      <c r="A29" s="3" t="inlineStr">
        <is>
          <t xml:space="preserve">CMPE371</t>
        </is>
      </c>
      <c r="B29" s="2" t="inlineStr">
        <is>
          <t xml:space="preserve">S3 · Special signals</t>
        </is>
      </c>
      <c r="C29" s="4">
        <v>46329</v>
      </c>
      <c r="D29" s="8"/>
      <c r="E29" s="9"/>
      <c r="F29" s="3" t="str">
        <f>IF(E29="","",IF(E29&gt;=0.85,"Güçlü",IF(E29&gt;=0.7,"İyi — tekrar gerekli",IF(E29&gt;=0.5,"Eksik","Yeniden çalış"))))</f>
        <v/>
      </c>
      <c r="G29" s="7"/>
    </row>
    <row r="30">
      <c r="A30" s="3" t="inlineStr">
        <is>
          <t xml:space="preserve">CMPE371</t>
        </is>
      </c>
      <c r="B30" s="2" t="inlineStr">
        <is>
          <t xml:space="preserve">S3b · System properties</t>
        </is>
      </c>
      <c r="C30" s="4">
        <v>46330</v>
      </c>
      <c r="D30" s="8"/>
      <c r="E30" s="9"/>
      <c r="F30" s="3" t="str">
        <f>IF(E30="","",IF(E30&gt;=0.85,"Güçlü",IF(E30&gt;=0.7,"İyi — tekrar gerekli",IF(E30&gt;=0.5,"Eksik","Yeniden çalış"))))</f>
        <v/>
      </c>
      <c r="G30" s="7"/>
    </row>
    <row r="31">
      <c r="A31" s="3" t="inlineStr">
        <is>
          <t xml:space="preserve">CMPE371</t>
        </is>
      </c>
      <c r="B31" s="2" t="inlineStr">
        <is>
          <t xml:space="preserve">S4a · LTI I: ayrık konvolüsyon</t>
        </is>
      </c>
      <c r="C31" s="4">
        <v>46331</v>
      </c>
      <c r="D31" s="8"/>
      <c r="E31" s="9"/>
      <c r="F31" s="3" t="str">
        <f>IF(E31="","",IF(E31&gt;=0.85,"Güçlü",IF(E31&gt;=0.7,"İyi — tekrar gerekli",IF(E31&gt;=0.5,"Eksik","Yeniden çalış"))))</f>
        <v/>
      </c>
      <c r="G31" s="7"/>
    </row>
    <row r="32">
      <c r="A32" s="3" t="inlineStr">
        <is>
          <t xml:space="preserve">CMPE371</t>
        </is>
      </c>
      <c r="B32" s="2" t="inlineStr">
        <is>
          <t xml:space="preserve">S4b · LTI II: sürekli konvolüsyon</t>
        </is>
      </c>
      <c r="C32" s="4">
        <v>46331</v>
      </c>
      <c r="D32" s="8"/>
      <c r="E32" s="9"/>
      <c r="F32" s="3" t="str">
        <f>IF(E32="","",IF(E32&gt;=0.85,"Güçlü",IF(E32&gt;=0.7,"İyi — tekrar gerekli",IF(E32&gt;=0.5,"Eksik","Yeniden çalış"))))</f>
        <v/>
      </c>
      <c r="G32" s="7"/>
    </row>
    <row r="33">
      <c r="A33" s="3" t="inlineStr">
        <is>
          <t xml:space="preserve">CMPE371</t>
        </is>
      </c>
      <c r="B33" s="2" t="inlineStr">
        <is>
          <t xml:space="preserve">S4c · LTI III: özellikler</t>
        </is>
      </c>
      <c r="C33" s="4">
        <v>46332</v>
      </c>
      <c r="D33" s="8"/>
      <c r="E33" s="9"/>
      <c r="F33" s="3" t="str">
        <f>IF(E33="","",IF(E33&gt;=0.85,"Güçlü",IF(E33&gt;=0.7,"İyi — tekrar gerekli",IF(E33&gt;=0.5,"Eksik","Yeniden çalış"))))</f>
        <v/>
      </c>
      <c r="G33" s="7"/>
    </row>
    <row r="34">
      <c r="A34" s="3" t="inlineStr">
        <is>
          <t xml:space="preserve">CMPE371</t>
        </is>
      </c>
      <c r="B34" s="2" t="inlineStr">
        <is>
          <t xml:space="preserve">S5 · Differential and difference equations</t>
        </is>
      </c>
      <c r="C34" s="4">
        <v>46333</v>
      </c>
      <c r="D34" s="8"/>
      <c r="E34" s="9"/>
      <c r="F34" s="3" t="str">
        <f>IF(E34="","",IF(E34&gt;=0.85,"Güçlü",IF(E34&gt;=0.7,"İyi — tekrar gerekli",IF(E34&gt;=0.5,"Eksik","Yeniden çalış"))))</f>
        <v/>
      </c>
      <c r="G34" s="7"/>
    </row>
    <row r="35">
      <c r="A35" s="3" t="inlineStr">
        <is>
          <t xml:space="preserve">CMPE371</t>
        </is>
      </c>
      <c r="B35" s="2" t="inlineStr">
        <is>
          <t xml:space="preserve">S6 · CTFS</t>
        </is>
      </c>
      <c r="C35" s="4">
        <v>46334</v>
      </c>
      <c r="D35" s="8"/>
      <c r="E35" s="9"/>
      <c r="F35" s="3" t="str">
        <f>IF(E35="","",IF(E35&gt;=0.85,"Güçlü",IF(E35&gt;=0.7,"İyi — tekrar gerekli",IF(E35&gt;=0.5,"Eksik","Yeniden çalış"))))</f>
        <v/>
      </c>
      <c r="G35" s="7"/>
    </row>
    <row r="36">
      <c r="A36" s="3" t="inlineStr">
        <is>
          <t xml:space="preserve">CMPE371</t>
        </is>
      </c>
      <c r="B36" s="2" t="inlineStr">
        <is>
          <t xml:space="preserve">S7 · CTFT</t>
        </is>
      </c>
      <c r="C36" s="4">
        <v>46341</v>
      </c>
      <c r="D36" s="8"/>
      <c r="E36" s="9"/>
      <c r="F36" s="3" t="str">
        <f>IF(E36="","",IF(E36&gt;=0.85,"Güçlü",IF(E36&gt;=0.7,"İyi — tekrar gerekli",IF(E36&gt;=0.5,"Eksik","Yeniden çalış"))))</f>
        <v/>
      </c>
      <c r="G36" s="7"/>
    </row>
    <row r="37">
      <c r="A37" s="3" t="inlineStr">
        <is>
          <t xml:space="preserve">CMPE371</t>
        </is>
      </c>
      <c r="B37" s="2" t="inlineStr">
        <is>
          <t xml:space="preserve">S9 · DTFS</t>
        </is>
      </c>
      <c r="C37" s="4">
        <v>46354</v>
      </c>
      <c r="D37" s="8"/>
      <c r="E37" s="9"/>
      <c r="F37" s="3" t="str">
        <f>IF(E37="","",IF(E37&gt;=0.85,"Güçlü",IF(E37&gt;=0.7,"İyi — tekrar gerekli",IF(E37&gt;=0.5,"Eksik","Yeniden çalış"))))</f>
        <v/>
      </c>
      <c r="G37" s="7"/>
    </row>
    <row r="38">
      <c r="A38" s="3" t="inlineStr">
        <is>
          <t xml:space="preserve">CMPE371</t>
        </is>
      </c>
      <c r="B38" s="2" t="inlineStr">
        <is>
          <t xml:space="preserve">S10 · DTFT</t>
        </is>
      </c>
      <c r="C38" s="4">
        <v>46355</v>
      </c>
      <c r="D38" s="8"/>
      <c r="E38" s="9"/>
      <c r="F38" s="3" t="str">
        <f>IF(E38="","",IF(E38&gt;=0.85,"Güçlü",IF(E38&gt;=0.7,"İyi — tekrar gerekli",IF(E38&gt;=0.5,"Eksik","Yeniden çalış"))))</f>
        <v/>
      </c>
      <c r="G38" s="7"/>
    </row>
    <row r="39">
      <c r="A39" s="3" t="inlineStr">
        <is>
          <t xml:space="preserve">CMPE371</t>
        </is>
      </c>
      <c r="B39" s="2" t="inlineStr">
        <is>
          <t xml:space="preserve">S11 · Filtering</t>
        </is>
      </c>
      <c r="C39" s="4">
        <v>46362</v>
      </c>
      <c r="D39" s="8"/>
      <c r="E39" s="9"/>
      <c r="F39" s="3" t="str">
        <f>IF(E39="","",IF(E39&gt;=0.85,"Güçlü",IF(E39&gt;=0.7,"İyi — tekrar gerekli",IF(E39&gt;=0.5,"Eksik","Yeniden çalış"))))</f>
        <v/>
      </c>
      <c r="G39" s="7"/>
    </row>
    <row r="40">
      <c r="A40" s="3" t="inlineStr">
        <is>
          <t xml:space="preserve">CMPE371</t>
        </is>
      </c>
      <c r="B40" s="2" t="inlineStr">
        <is>
          <t xml:space="preserve">S12 · Sampling</t>
        </is>
      </c>
      <c r="C40" s="4">
        <v>46367</v>
      </c>
      <c r="D40" s="8"/>
      <c r="E40" s="9"/>
      <c r="F40" s="3" t="str">
        <f>IF(E40="","",IF(E40&gt;=0.85,"Güçlü",IF(E40&gt;=0.7,"İyi — tekrar gerekli",IF(E40&gt;=0.5,"Eksik","Yeniden çalış"))))</f>
        <v/>
      </c>
      <c r="G40" s="7"/>
    </row>
    <row r="41">
      <c r="A41" s="3" t="inlineStr">
        <is>
          <t xml:space="preserve">CMPE371</t>
        </is>
      </c>
      <c r="B41" s="2" t="inlineStr">
        <is>
          <t xml:space="preserve">S13 · Z-Transform</t>
        </is>
      </c>
      <c r="C41" s="4">
        <v>46369</v>
      </c>
      <c r="D41" s="8"/>
      <c r="E41" s="9"/>
      <c r="F41" s="3" t="str">
        <f>IF(E41="","",IF(E41&gt;=0.85,"Güçlü",IF(E41&gt;=0.7,"İyi — tekrar gerekli",IF(E41&gt;=0.5,"Eksik","Yeniden çalış"))))</f>
        <v/>
      </c>
      <c r="G41" s="7"/>
    </row>
    <row r="42">
      <c r="A42" s="3" t="inlineStr">
        <is>
          <t xml:space="preserve">CMPE327</t>
        </is>
      </c>
      <c r="B42" s="2" t="inlineStr">
        <is>
          <t xml:space="preserve">A1 · Central concepts + mathematical preliminaries</t>
        </is>
      </c>
      <c r="C42" s="4">
        <v>46325</v>
      </c>
      <c r="D42" s="8"/>
      <c r="E42" s="9"/>
      <c r="F42" s="3" t="str">
        <f>IF(E42="","",IF(E42&gt;=0.85,"Güçlü",IF(E42&gt;=0.7,"İyi — tekrar gerekli",IF(E42&gt;=0.5,"Eksik","Yeniden çalış"))))</f>
        <v/>
      </c>
      <c r="G42" s="7"/>
    </row>
    <row r="43">
      <c r="A43" s="3" t="inlineStr">
        <is>
          <t xml:space="preserve">CMPE327</t>
        </is>
      </c>
      <c r="B43" s="2" t="inlineStr">
        <is>
          <t xml:space="preserve">A2 · DFA</t>
        </is>
      </c>
      <c r="C43" s="4">
        <v>46326</v>
      </c>
      <c r="D43" s="8"/>
      <c r="E43" s="9"/>
      <c r="F43" s="3" t="str">
        <f>IF(E43="","",IF(E43&gt;=0.85,"Güçlü",IF(E43&gt;=0.7,"İyi — tekrar gerekli",IF(E43&gt;=0.5,"Eksik","Yeniden çalış"))))</f>
        <v/>
      </c>
      <c r="G43" s="7"/>
    </row>
    <row r="44">
      <c r="A44" s="3" t="inlineStr">
        <is>
          <t xml:space="preserve">CMPE327</t>
        </is>
      </c>
      <c r="B44" s="2" t="inlineStr">
        <is>
          <t xml:space="preserve">A4 · NFA ve ε-NFA</t>
        </is>
      </c>
      <c r="C44" s="4">
        <v>46330</v>
      </c>
      <c r="D44" s="8"/>
      <c r="E44" s="9"/>
      <c r="F44" s="3" t="str">
        <f>IF(E44="","",IF(E44&gt;=0.85,"Güçlü",IF(E44&gt;=0.7,"İyi — tekrar gerekli",IF(E44&gt;=0.5,"Eksik","Yeniden çalış"))))</f>
        <v/>
      </c>
      <c r="G44" s="7"/>
    </row>
    <row r="45">
      <c r="A45" s="3" t="inlineStr">
        <is>
          <t xml:space="preserve">CMPE327</t>
        </is>
      </c>
      <c r="B45" s="2" t="inlineStr">
        <is>
          <t xml:space="preserve">A5 · DFA ≡ NFA (altküme yapısı)</t>
        </is>
      </c>
      <c r="C45" s="4">
        <v>46331</v>
      </c>
      <c r="D45" s="8"/>
      <c r="E45" s="9"/>
      <c r="F45" s="3" t="str">
        <f>IF(E45="","",IF(E45&gt;=0.85,"Güçlü",IF(E45&gt;=0.7,"İyi — tekrar gerekli",IF(E45&gt;=0.5,"Eksik","Yeniden çalış"))))</f>
        <v/>
      </c>
      <c r="G45" s="7"/>
    </row>
    <row r="46">
      <c r="A46" s="3" t="inlineStr">
        <is>
          <t xml:space="preserve">CMPE327</t>
        </is>
      </c>
      <c r="B46" s="2" t="inlineStr">
        <is>
          <t xml:space="preserve">A6 · Closure properties</t>
        </is>
      </c>
      <c r="C46" s="4">
        <v>46332</v>
      </c>
      <c r="D46" s="8"/>
      <c r="E46" s="9"/>
      <c r="F46" s="3" t="str">
        <f>IF(E46="","",IF(E46&gt;=0.85,"Güçlü",IF(E46&gt;=0.7,"İyi — tekrar gerekli",IF(E46&gt;=0.5,"Eksik","Yeniden çalış"))))</f>
        <v/>
      </c>
      <c r="G46" s="7"/>
    </row>
    <row r="47">
      <c r="A47" s="3" t="inlineStr">
        <is>
          <t xml:space="preserve">CMPE327</t>
        </is>
      </c>
      <c r="B47" s="2" t="inlineStr">
        <is>
          <t xml:space="preserve">A7 · Regular expressions</t>
        </is>
      </c>
      <c r="C47" s="4">
        <v>46333</v>
      </c>
      <c r="D47" s="8"/>
      <c r="E47" s="9"/>
      <c r="F47" s="3" t="str">
        <f>IF(E47="","",IF(E47&gt;=0.85,"Güçlü",IF(E47&gt;=0.7,"İyi — tekrar gerekli",IF(E47&gt;=0.5,"Eksik","Yeniden çalış"))))</f>
        <v/>
      </c>
      <c r="G47" s="7"/>
    </row>
    <row r="48">
      <c r="A48" s="3" t="inlineStr">
        <is>
          <t xml:space="preserve">CMPE327</t>
        </is>
      </c>
      <c r="B48" s="2" t="inlineStr">
        <is>
          <t xml:space="preserve">A8 · DFA state minimization</t>
        </is>
      </c>
      <c r="C48" s="4">
        <v>46334</v>
      </c>
      <c r="D48" s="8"/>
      <c r="E48" s="9"/>
      <c r="F48" s="3" t="str">
        <f>IF(E48="","",IF(E48&gt;=0.85,"Güçlü",IF(E48&gt;=0.7,"İyi — tekrar gerekli",IF(E48&gt;=0.5,"Eksik","Yeniden çalış"))))</f>
        <v/>
      </c>
      <c r="G48" s="7"/>
    </row>
    <row r="49">
      <c r="A49" s="3" t="inlineStr">
        <is>
          <t xml:space="preserve">CMPE327</t>
        </is>
      </c>
      <c r="B49" s="2" t="inlineStr">
        <is>
          <t xml:space="preserve">A9 · Myhill–Nerode</t>
        </is>
      </c>
      <c r="C49" s="4">
        <v>46335</v>
      </c>
      <c r="D49" s="8"/>
      <c r="E49" s="9"/>
      <c r="F49" s="3" t="str">
        <f>IF(E49="","",IF(E49&gt;=0.85,"Güçlü",IF(E49&gt;=0.7,"İyi — tekrar gerekli",IF(E49&gt;=0.5,"Eksik","Yeniden çalış"))))</f>
        <v/>
      </c>
      <c r="G49" s="7"/>
    </row>
    <row r="50">
      <c r="A50" s="3" t="inlineStr">
        <is>
          <t xml:space="preserve">CMPE327</t>
        </is>
      </c>
      <c r="B50" s="2" t="inlineStr">
        <is>
          <t xml:space="preserve">A10 · Derivatives + regex denkliği</t>
        </is>
      </c>
      <c r="C50" s="4">
        <v>46336</v>
      </c>
      <c r="D50" s="8"/>
      <c r="E50" s="9"/>
      <c r="F50" s="3" t="str">
        <f>IF(E50="","",IF(E50&gt;=0.85,"Güçlü",IF(E50&gt;=0.7,"İyi — tekrar gerekli",IF(E50&gt;=0.5,"Eksik","Yeniden çalış"))))</f>
        <v/>
      </c>
      <c r="G50" s="7"/>
    </row>
    <row r="51">
      <c r="A51" s="3" t="inlineStr">
        <is>
          <t xml:space="preserve">CMPE327</t>
        </is>
      </c>
      <c r="B51" s="2" t="inlineStr">
        <is>
          <t xml:space="preserve">A11 · Context-free grammars</t>
        </is>
      </c>
      <c r="C51" s="4">
        <v>46337</v>
      </c>
      <c r="D51" s="8"/>
      <c r="E51" s="9"/>
      <c r="F51" s="3" t="str">
        <f>IF(E51="","",IF(E51&gt;=0.85,"Güçlü",IF(E51&gt;=0.7,"İyi — tekrar gerekli",IF(E51&gt;=0.5,"Eksik","Yeniden çalış"))))</f>
        <v/>
      </c>
      <c r="G51" s="7"/>
    </row>
    <row r="52">
      <c r="A52" s="3" t="inlineStr">
        <is>
          <t xml:space="preserve">CMPE327</t>
        </is>
      </c>
      <c r="B52" s="2" t="inlineStr">
        <is>
          <t xml:space="preserve">A12 · Ambiguity + DFA eşdeğerlik kontrolü</t>
        </is>
      </c>
      <c r="C52" s="4">
        <v>46338</v>
      </c>
      <c r="D52" s="8"/>
      <c r="E52" s="9"/>
      <c r="F52" s="3" t="str">
        <f>IF(E52="","",IF(E52&gt;=0.85,"Güçlü",IF(E52&gt;=0.7,"İyi — tekrar gerekli",IF(E52&gt;=0.5,"Eksik","Yeniden çalış"))))</f>
        <v/>
      </c>
      <c r="G52" s="7"/>
    </row>
    <row r="53">
      <c r="A53" s="3" t="inlineStr">
        <is>
          <t xml:space="preserve">CMPE327</t>
        </is>
      </c>
      <c r="B53" s="2" t="inlineStr">
        <is>
          <t xml:space="preserve">A14 · Chomsky Normal Form</t>
        </is>
      </c>
      <c r="C53" s="4">
        <v>46354</v>
      </c>
      <c r="D53" s="8"/>
      <c r="E53" s="9"/>
      <c r="F53" s="3" t="str">
        <f>IF(E53="","",IF(E53&gt;=0.85,"Güçlü",IF(E53&gt;=0.7,"İyi — tekrar gerekli",IF(E53&gt;=0.5,"Eksik","Yeniden çalış"))))</f>
        <v/>
      </c>
      <c r="G53" s="7"/>
    </row>
    <row r="54">
      <c r="A54" s="3" t="inlineStr">
        <is>
          <t xml:space="preserve">CMPE327</t>
        </is>
      </c>
      <c r="B54" s="2" t="inlineStr">
        <is>
          <t xml:space="preserve">A15 · CYK algoritması</t>
        </is>
      </c>
      <c r="C54" s="4">
        <v>46355</v>
      </c>
      <c r="D54" s="8"/>
      <c r="E54" s="9"/>
      <c r="F54" s="3" t="str">
        <f>IF(E54="","",IF(E54&gt;=0.85,"Güçlü",IF(E54&gt;=0.7,"İyi — tekrar gerekli",IF(E54&gt;=0.5,"Eksik","Yeniden çalış"))))</f>
        <v/>
      </c>
      <c r="G54" s="7"/>
    </row>
    <row r="55">
      <c r="A55" s="3" t="inlineStr">
        <is>
          <t xml:space="preserve">CMPE327</t>
        </is>
      </c>
      <c r="B55" s="2" t="inlineStr">
        <is>
          <t xml:space="preserve">A16 · Pumping lemma + non-regularity</t>
        </is>
      </c>
      <c r="C55" s="4">
        <v>46357</v>
      </c>
      <c r="D55" s="8"/>
      <c r="E55" s="9"/>
      <c r="F55" s="3" t="str">
        <f>IF(E55="","",IF(E55&gt;=0.85,"Güçlü",IF(E55&gt;=0.7,"İyi — tekrar gerekli",IF(E55&gt;=0.5,"Eksik","Yeniden çalış"))))</f>
        <v/>
      </c>
      <c r="G55" s="7"/>
    </row>
    <row r="56">
      <c r="A56" s="3" t="inlineStr">
        <is>
          <t xml:space="preserve">CMPE327</t>
        </is>
      </c>
      <c r="B56" s="2" t="inlineStr">
        <is>
          <t xml:space="preserve">A17 · Pushdown automata</t>
        </is>
      </c>
      <c r="C56" s="4">
        <v>46360</v>
      </c>
      <c r="D56" s="8"/>
      <c r="E56" s="9"/>
      <c r="F56" s="3" t="str">
        <f>IF(E56="","",IF(E56&gt;=0.85,"Güçlü",IF(E56&gt;=0.7,"İyi — tekrar gerekli",IF(E56&gt;=0.5,"Eksik","Yeniden çalış"))))</f>
        <v/>
      </c>
      <c r="G56" s="7"/>
    </row>
    <row r="57">
      <c r="A57" s="3" t="inlineStr">
        <is>
          <t xml:space="preserve">CMPE327</t>
        </is>
      </c>
      <c r="B57" s="2" t="inlineStr">
        <is>
          <t xml:space="preserve">A18 · Ogden's lemma</t>
        </is>
      </c>
      <c r="C57" s="4">
        <v>46362</v>
      </c>
      <c r="D57" s="8"/>
      <c r="E57" s="9"/>
      <c r="F57" s="3" t="str">
        <f>IF(E57="","",IF(E57&gt;=0.85,"Güçlü",IF(E57&gt;=0.7,"İyi — tekrar gerekli",IF(E57&gt;=0.5,"Eksik","Yeniden çalış"))))</f>
        <v/>
      </c>
      <c r="G57" s="7"/>
    </row>
    <row r="58">
      <c r="A58" s="3" t="inlineStr">
        <is>
          <t xml:space="preserve">CMPE327</t>
        </is>
      </c>
      <c r="B58" s="2" t="inlineStr">
        <is>
          <t xml:space="preserve">A19 · Turing machines</t>
        </is>
      </c>
      <c r="C58" s="4">
        <v>46367</v>
      </c>
      <c r="D58" s="8"/>
      <c r="E58" s="9"/>
      <c r="F58" s="3" t="str">
        <f>IF(E58="","",IF(E58&gt;=0.85,"Güçlü",IF(E58&gt;=0.7,"İyi — tekrar gerekli",IF(E58&gt;=0.5,"Eksik","Yeniden çalış"))))</f>
        <v/>
      </c>
      <c r="G58" s="7"/>
    </row>
    <row r="59">
      <c r="A59" s="3" t="inlineStr">
        <is>
          <t xml:space="preserve">CMPE327</t>
        </is>
      </c>
      <c r="B59" s="2" t="inlineStr">
        <is>
          <t xml:space="preserve">A20 · Decision problems</t>
        </is>
      </c>
      <c r="C59" s="4">
        <v>46368</v>
      </c>
      <c r="D59" s="8"/>
      <c r="E59" s="9"/>
      <c r="F59" s="3" t="str">
        <f>IF(E59="","",IF(E59&gt;=0.85,"Güçlü",IF(E59&gt;=0.7,"İyi — tekrar gerekli",IF(E59&gt;=0.5,"Eksik","Yeniden çalış"))))</f>
        <v/>
      </c>
      <c r="G59" s="7"/>
    </row>
    <row r="60">
      <c r="A60" s="3" t="inlineStr">
        <is>
          <t xml:space="preserve">CMPE421</t>
        </is>
      </c>
      <c r="B60" s="2" t="inlineStr">
        <is>
          <t xml:space="preserve">I1 · Intro to AI + intelligent agents</t>
        </is>
      </c>
      <c r="C60" s="4">
        <v>46329</v>
      </c>
      <c r="D60" s="8"/>
      <c r="E60" s="9"/>
      <c r="F60" s="3" t="str">
        <f>IF(E60="","",IF(E60&gt;=0.85,"Güçlü",IF(E60&gt;=0.7,"İyi — tekrar gerekli",IF(E60&gt;=0.5,"Eksik","Yeniden çalış"))))</f>
        <v/>
      </c>
      <c r="G60" s="7"/>
    </row>
    <row r="61">
      <c r="A61" s="3" t="inlineStr">
        <is>
          <t xml:space="preserve">CMPE421</t>
        </is>
      </c>
      <c r="B61" s="2" t="inlineStr">
        <is>
          <t xml:space="preserve">I2 · Problem solving + uninformed search</t>
        </is>
      </c>
      <c r="C61" s="4">
        <v>46330</v>
      </c>
      <c r="D61" s="8"/>
      <c r="E61" s="9"/>
      <c r="F61" s="3" t="str">
        <f>IF(E61="","",IF(E61&gt;=0.85,"Güçlü",IF(E61&gt;=0.7,"İyi — tekrar gerekli",IF(E61&gt;=0.5,"Eksik","Yeniden çalış"))))</f>
        <v/>
      </c>
      <c r="G61" s="7"/>
    </row>
    <row r="62">
      <c r="A62" s="3" t="inlineStr">
        <is>
          <t xml:space="preserve">CMPE421</t>
        </is>
      </c>
      <c r="B62" s="2" t="inlineStr">
        <is>
          <t xml:space="preserve">I3 · Informed search</t>
        </is>
      </c>
      <c r="C62" s="4">
        <v>46333</v>
      </c>
      <c r="D62" s="8"/>
      <c r="E62" s="9"/>
      <c r="F62" s="3" t="str">
        <f>IF(E62="","",IF(E62&gt;=0.85,"Güçlü",IF(E62&gt;=0.7,"İyi — tekrar gerekli",IF(E62&gt;=0.5,"Eksik","Yeniden çalış"))))</f>
        <v/>
      </c>
      <c r="G62" s="7"/>
    </row>
    <row r="63">
      <c r="A63" s="3" t="inlineStr">
        <is>
          <t xml:space="preserve">CMPE421</t>
        </is>
      </c>
      <c r="B63" s="2" t="inlineStr">
        <is>
          <t xml:space="preserve">I4 · Game playing</t>
        </is>
      </c>
      <c r="C63" s="4">
        <v>46334</v>
      </c>
      <c r="D63" s="8"/>
      <c r="E63" s="9"/>
      <c r="F63" s="3" t="str">
        <f>IF(E63="","",IF(E63&gt;=0.85,"Güçlü",IF(E63&gt;=0.7,"İyi — tekrar gerekli",IF(E63&gt;=0.5,"Eksik","Yeniden çalış"))))</f>
        <v/>
      </c>
      <c r="G63" s="7"/>
    </row>
    <row r="64">
      <c r="A64" s="3" t="inlineStr">
        <is>
          <t xml:space="preserve">CMPE421</t>
        </is>
      </c>
      <c r="B64" s="2" t="inlineStr">
        <is>
          <t xml:space="preserve">I5 · CSP</t>
        </is>
      </c>
      <c r="C64" s="4">
        <v>46335</v>
      </c>
      <c r="D64" s="8"/>
      <c r="E64" s="9"/>
      <c r="F64" s="3" t="str">
        <f>IF(E64="","",IF(E64&gt;=0.85,"Güçlü",IF(E64&gt;=0.7,"İyi — tekrar gerekli",IF(E64&gt;=0.5,"Eksik","Yeniden çalış"))))</f>
        <v/>
      </c>
      <c r="G64" s="7"/>
    </row>
    <row r="65">
      <c r="A65" s="3" t="inlineStr">
        <is>
          <t xml:space="preserve">CMPE421</t>
        </is>
      </c>
      <c r="B65" s="2" t="inlineStr">
        <is>
          <t xml:space="preserve">I6 · Planning</t>
        </is>
      </c>
      <c r="C65" s="4">
        <v>46336</v>
      </c>
      <c r="D65" s="8"/>
      <c r="E65" s="9"/>
      <c r="F65" s="3" t="str">
        <f>IF(E65="","",IF(E65&gt;=0.85,"Güçlü",IF(E65&gt;=0.7,"İyi — tekrar gerekli",IF(E65&gt;=0.5,"Eksik","Yeniden çalış"))))</f>
        <v/>
      </c>
      <c r="G65" s="7"/>
    </row>
    <row r="66">
      <c r="A66" s="3" t="inlineStr">
        <is>
          <t xml:space="preserve">CMPE421</t>
        </is>
      </c>
      <c r="B66" s="2" t="inlineStr">
        <is>
          <t xml:space="preserve">I7 · Knowledge representation</t>
        </is>
      </c>
      <c r="C66" s="4">
        <v>46337</v>
      </c>
      <c r="D66" s="8"/>
      <c r="E66" s="9"/>
      <c r="F66" s="3" t="str">
        <f>IF(E66="","",IF(E66&gt;=0.85,"Güçlü",IF(E66&gt;=0.7,"İyi — tekrar gerekli",IF(E66&gt;=0.5,"Eksik","Yeniden çalış"))))</f>
        <v/>
      </c>
      <c r="G66" s="7"/>
    </row>
    <row r="67">
      <c r="A67" s="3" t="inlineStr">
        <is>
          <t xml:space="preserve">CMPE421</t>
        </is>
      </c>
      <c r="B67" s="2" t="inlineStr">
        <is>
          <t xml:space="preserve">I8 · Theorem proving</t>
        </is>
      </c>
      <c r="C67" s="4">
        <v>46338</v>
      </c>
      <c r="D67" s="8"/>
      <c r="E67" s="9"/>
      <c r="F67" s="3" t="str">
        <f>IF(E67="","",IF(E67&gt;=0.85,"Güçlü",IF(E67&gt;=0.7,"İyi — tekrar gerekli",IF(E67&gt;=0.5,"Eksik","Yeniden çalış"))))</f>
        <v/>
      </c>
      <c r="G67" s="7"/>
    </row>
    <row r="68">
      <c r="A68" s="3" t="inlineStr">
        <is>
          <t xml:space="preserve">CMPE421</t>
        </is>
      </c>
      <c r="B68" s="2" t="inlineStr">
        <is>
          <t xml:space="preserve">I9 · Uncertainty</t>
        </is>
      </c>
      <c r="C68" s="4">
        <v>46340</v>
      </c>
      <c r="D68" s="8"/>
      <c r="E68" s="9"/>
      <c r="F68" s="3" t="str">
        <f>IF(E68="","",IF(E68&gt;=0.85,"Güçlü",IF(E68&gt;=0.7,"İyi — tekrar gerekli",IF(E68&gt;=0.5,"Eksik","Yeniden çalış"))))</f>
        <v/>
      </c>
      <c r="G68" s="7"/>
    </row>
    <row r="69">
      <c r="A69" s="3" t="inlineStr">
        <is>
          <t xml:space="preserve">CMPE421</t>
        </is>
      </c>
      <c r="B69" s="2" t="inlineStr">
        <is>
          <t xml:space="preserve">I10 · ML fundamentals</t>
        </is>
      </c>
      <c r="C69" s="4">
        <v>46355</v>
      </c>
      <c r="D69" s="8"/>
      <c r="E69" s="9"/>
      <c r="F69" s="3" t="str">
        <f>IF(E69="","",IF(E69&gt;=0.85,"Güçlü",IF(E69&gt;=0.7,"İyi — tekrar gerekli",IF(E69&gt;=0.5,"Eksik","Yeniden çalış"))))</f>
        <v/>
      </c>
      <c r="G69" s="7"/>
    </row>
    <row r="70">
      <c r="A70" s="3" t="inlineStr">
        <is>
          <t xml:space="preserve">CMPE421</t>
        </is>
      </c>
      <c r="B70" s="2" t="inlineStr">
        <is>
          <t xml:space="preserve">I11 · Classification and regression</t>
        </is>
      </c>
      <c r="C70" s="4">
        <v>46356</v>
      </c>
      <c r="D70" s="8"/>
      <c r="E70" s="9"/>
      <c r="F70" s="3" t="str">
        <f>IF(E70="","",IF(E70&gt;=0.85,"Güçlü",IF(E70&gt;=0.7,"İyi — tekrar gerekli",IF(E70&gt;=0.5,"Eksik","Yeniden çalış"))))</f>
        <v/>
      </c>
      <c r="G70" s="7"/>
    </row>
    <row r="71">
      <c r="A71" s="3" t="inlineStr">
        <is>
          <t xml:space="preserve">CMPE421</t>
        </is>
      </c>
      <c r="B71" s="2" t="inlineStr">
        <is>
          <t xml:space="preserve">I12 · Neural networks and deep learning</t>
        </is>
      </c>
      <c r="C71" s="4">
        <v>46359</v>
      </c>
      <c r="D71" s="8"/>
      <c r="E71" s="9"/>
      <c r="F71" s="3" t="str">
        <f>IF(E71="","",IF(E71&gt;=0.85,"Güçlü",IF(E71&gt;=0.7,"İyi — tekrar gerekli",IF(E71&gt;=0.5,"Eksik","Yeniden çalış"))))</f>
        <v/>
      </c>
      <c r="G71" s="7"/>
    </row>
    <row r="72">
      <c r="A72" s="3" t="inlineStr">
        <is>
          <t xml:space="preserve">CMPE421</t>
        </is>
      </c>
      <c r="B72" s="2" t="inlineStr">
        <is>
          <t xml:space="preserve">I13 · NLP and LLMs</t>
        </is>
      </c>
      <c r="C72" s="4">
        <v>46362</v>
      </c>
      <c r="D72" s="8"/>
      <c r="E72" s="9"/>
      <c r="F72" s="3" t="str">
        <f>IF(E72="","",IF(E72&gt;=0.85,"Güçlü",IF(E72&gt;=0.7,"İyi — tekrar gerekli",IF(E72&gt;=0.5,"Eksik","Yeniden çalış"))))</f>
        <v/>
      </c>
      <c r="G72" s="7"/>
    </row>
    <row r="73">
      <c r="A73" s="3" t="inlineStr">
        <is>
          <t xml:space="preserve">CMPE421</t>
        </is>
      </c>
      <c r="B73" s="2" t="inlineStr">
        <is>
          <t xml:space="preserve">I14 · Reinforcement learning</t>
        </is>
      </c>
      <c r="C73" s="4">
        <v>46363</v>
      </c>
      <c r="D73" s="8"/>
      <c r="E73" s="9"/>
      <c r="F73" s="3" t="str">
        <f>IF(E73="","",IF(E73&gt;=0.85,"Güçlü",IF(E73&gt;=0.7,"İyi — tekrar gerekli",IF(E73&gt;=0.5,"Eksik","Yeniden çalış"))))</f>
        <v/>
      </c>
      <c r="G73" s="7"/>
    </row>
    <row r="74">
      <c r="A74" s="3" t="inlineStr">
        <is>
          <t xml:space="preserve">CMPE421</t>
        </is>
      </c>
      <c r="B74" s="2" t="inlineStr">
        <is>
          <t xml:space="preserve">I15 · Ethics, explainability, responsible AI</t>
        </is>
      </c>
      <c r="C74" s="4">
        <v>46366</v>
      </c>
      <c r="D74" s="8"/>
      <c r="E74" s="9"/>
      <c r="F74" s="3" t="str">
        <f>IF(E74="","",IF(E74&gt;=0.85,"Güçlü",IF(E74&gt;=0.7,"İyi — tekrar gerekli",IF(E74&gt;=0.5,"Eksik","Yeniden çalış"))))</f>
        <v/>
      </c>
      <c r="G74" s="7"/>
    </row>
    <row r="75">
      <c r="A75" s="3" t="inlineStr">
        <is>
          <t xml:space="preserve">CMPE453</t>
        </is>
      </c>
      <c r="B75" s="2" t="inlineStr">
        <is>
          <t xml:space="preserve">M1 · Course overview + ATmega328P architecture</t>
        </is>
      </c>
      <c r="C75" s="4">
        <v>46330</v>
      </c>
      <c r="D75" s="8"/>
      <c r="E75" s="9"/>
      <c r="F75" s="3" t="str">
        <f>IF(E75="","",IF(E75&gt;=0.85,"Güçlü",IF(E75&gt;=0.7,"İyi — tekrar gerekli",IF(E75&gt;=0.5,"Eksik","Yeniden çalış"))))</f>
        <v/>
      </c>
      <c r="G75" s="7"/>
    </row>
    <row r="76">
      <c r="A76" s="3" t="inlineStr">
        <is>
          <t xml:space="preserve">CMPE453</t>
        </is>
      </c>
      <c r="B76" s="2" t="inlineStr">
        <is>
          <t xml:space="preserve">M2 · Programming AVR (C + bit işlemleri)</t>
        </is>
      </c>
      <c r="C76" s="4">
        <v>46331</v>
      </c>
      <c r="D76" s="8"/>
      <c r="E76" s="9"/>
      <c r="F76" s="3" t="str">
        <f>IF(E76="","",IF(E76&gt;=0.85,"Güçlü",IF(E76&gt;=0.7,"İyi — tekrar gerekli",IF(E76&gt;=0.5,"Eksik","Yeniden çalış"))))</f>
        <v/>
      </c>
      <c r="G76" s="7"/>
    </row>
    <row r="77">
      <c r="A77" s="3" t="inlineStr">
        <is>
          <t xml:space="preserve">CMPE453</t>
        </is>
      </c>
      <c r="B77" s="2" t="inlineStr">
        <is>
          <t xml:space="preserve">M3 · AVR I/O portları</t>
        </is>
      </c>
      <c r="C77" s="4">
        <v>46332</v>
      </c>
      <c r="D77" s="8"/>
      <c r="E77" s="9"/>
      <c r="F77" s="3" t="str">
        <f>IF(E77="","",IF(E77&gt;=0.85,"Güçlü",IF(E77&gt;=0.7,"İyi — tekrar gerekli",IF(E77&gt;=0.5,"Eksik","Yeniden çalış"))))</f>
        <v/>
      </c>
      <c r="G77" s="7"/>
    </row>
    <row r="78">
      <c r="A78" s="3" t="inlineStr">
        <is>
          <t xml:space="preserve">CMPE453</t>
        </is>
      </c>
      <c r="B78" s="2" t="inlineStr">
        <is>
          <t xml:space="preserve">M4 · Digital input</t>
        </is>
      </c>
      <c r="C78" s="4">
        <v>46333</v>
      </c>
      <c r="D78" s="8"/>
      <c r="E78" s="9"/>
      <c r="F78" s="3" t="str">
        <f>IF(E78="","",IF(E78&gt;=0.85,"Güçlü",IF(E78&gt;=0.7,"İyi — tekrar gerekli",IF(E78&gt;=0.5,"Eksik","Yeniden çalış"))))</f>
        <v/>
      </c>
      <c r="G78" s="7"/>
    </row>
    <row r="79">
      <c r="A79" s="3" t="inlineStr">
        <is>
          <t xml:space="preserve">CMPE453</t>
        </is>
      </c>
      <c r="B79" s="2" t="inlineStr">
        <is>
          <t xml:space="preserve">M5 · USART</t>
        </is>
      </c>
      <c r="C79" s="4">
        <v>46334</v>
      </c>
      <c r="D79" s="8"/>
      <c r="E79" s="9"/>
      <c r="F79" s="3" t="str">
        <f>IF(E79="","",IF(E79&gt;=0.85,"Güçlü",IF(E79&gt;=0.7,"İyi — tekrar gerekli",IF(E79&gt;=0.5,"Eksik","Yeniden çalış"))))</f>
        <v/>
      </c>
      <c r="G79" s="7"/>
    </row>
    <row r="80">
      <c r="A80" s="3" t="inlineStr">
        <is>
          <t xml:space="preserve">CMPE453</t>
        </is>
      </c>
      <c r="B80" s="2" t="inlineStr">
        <is>
          <t xml:space="preserve">M6 · SPI ve I2C</t>
        </is>
      </c>
      <c r="C80" s="4">
        <v>46335</v>
      </c>
      <c r="D80" s="8"/>
      <c r="E80" s="9"/>
      <c r="F80" s="3" t="str">
        <f>IF(E80="","",IF(E80&gt;=0.85,"Güçlü",IF(E80&gt;=0.7,"İyi — tekrar gerekli",IF(E80&gt;=0.5,"Eksik","Yeniden çalış"))))</f>
        <v/>
      </c>
      <c r="G80" s="7"/>
    </row>
    <row r="81">
      <c r="A81" s="3" t="inlineStr">
        <is>
          <t xml:space="preserve">CMPE453</t>
        </is>
      </c>
      <c r="B81" s="2" t="inlineStr">
        <is>
          <t xml:space="preserve">M7 · ADC</t>
        </is>
      </c>
      <c r="C81" s="4">
        <v>46336</v>
      </c>
      <c r="D81" s="8"/>
      <c r="E81" s="9"/>
      <c r="F81" s="3" t="str">
        <f>IF(E81="","",IF(E81&gt;=0.85,"Güçlü",IF(E81&gt;=0.7,"İyi — tekrar gerekli",IF(E81&gt;=0.5,"Eksik","Yeniden çalış"))))</f>
        <v/>
      </c>
      <c r="G81" s="7"/>
    </row>
    <row r="82">
      <c r="A82" s="3" t="inlineStr">
        <is>
          <t xml:space="preserve">CMPE453</t>
        </is>
      </c>
      <c r="B82" s="2" t="inlineStr">
        <is>
          <t xml:space="preserve">M8 · Interrupts</t>
        </is>
      </c>
      <c r="C82" s="4">
        <v>46341</v>
      </c>
      <c r="D82" s="8"/>
      <c r="E82" s="9"/>
      <c r="F82" s="3" t="str">
        <f>IF(E82="","",IF(E82&gt;=0.85,"Güçlü",IF(E82&gt;=0.7,"İyi — tekrar gerekli",IF(E82&gt;=0.5,"Eksik","Yeniden çalış"))))</f>
        <v/>
      </c>
      <c r="G82" s="7"/>
    </row>
    <row r="83">
      <c r="A83" s="3" t="inlineStr">
        <is>
          <t xml:space="preserve">CMPE453</t>
        </is>
      </c>
      <c r="B83" s="2" t="inlineStr">
        <is>
          <t xml:space="preserve">M9 · Timers/counters</t>
        </is>
      </c>
      <c r="C83" s="4">
        <v>46343</v>
      </c>
      <c r="D83" s="8"/>
      <c r="E83" s="9"/>
      <c r="F83" s="3" t="str">
        <f>IF(E83="","",IF(E83&gt;=0.85,"Güçlü",IF(E83&gt;=0.7,"İyi — tekrar gerekli",IF(E83&gt;=0.5,"Eksik","Yeniden çalış"))))</f>
        <v/>
      </c>
      <c r="G83" s="7"/>
    </row>
    <row r="84">
      <c r="A84" s="3" t="inlineStr">
        <is>
          <t xml:space="preserve">CMPE453</t>
        </is>
      </c>
      <c r="B84" s="2" t="inlineStr">
        <is>
          <t xml:space="preserve">M10 · PWM (AVR)</t>
        </is>
      </c>
      <c r="C84" s="4">
        <v>46353</v>
      </c>
      <c r="D84" s="8"/>
      <c r="E84" s="9"/>
      <c r="F84" s="3" t="str">
        <f>IF(E84="","",IF(E84&gt;=0.85,"Güçlü",IF(E84&gt;=0.7,"İyi — tekrar gerekli",IF(E84&gt;=0.5,"Eksik","Yeniden çalış"))))</f>
        <v/>
      </c>
      <c r="G84" s="7"/>
    </row>
    <row r="85">
      <c r="A85" s="3" t="inlineStr">
        <is>
          <t xml:space="preserve">CMPE453</t>
        </is>
      </c>
      <c r="B85" s="2" t="inlineStr">
        <is>
          <t xml:space="preserve">M11 · ARM Cortex / STM32 Discovery temelleri</t>
        </is>
      </c>
      <c r="C85" s="4">
        <v>46358</v>
      </c>
      <c r="D85" s="8"/>
      <c r="E85" s="9"/>
      <c r="F85" s="3" t="str">
        <f>IF(E85="","",IF(E85&gt;=0.85,"Güçlü",IF(E85&gt;=0.7,"İyi — tekrar gerekli",IF(E85&gt;=0.5,"Eksik","Yeniden çalış"))))</f>
        <v/>
      </c>
      <c r="G85" s="7"/>
    </row>
    <row r="86">
      <c r="A86" s="3" t="inlineStr">
        <is>
          <t xml:space="preserve">CMPE453</t>
        </is>
      </c>
      <c r="B86" s="2" t="inlineStr">
        <is>
          <t xml:space="preserve">M12 · STM32 GPIO + LED</t>
        </is>
      </c>
      <c r="C86" s="4">
        <v>46362</v>
      </c>
      <c r="D86" s="8"/>
      <c r="E86" s="9"/>
      <c r="F86" s="3" t="str">
        <f>IF(E86="","",IF(E86&gt;=0.85,"Güçlü",IF(E86&gt;=0.7,"İyi — tekrar gerekli",IF(E86&gt;=0.5,"Eksik","Yeniden çalış"))))</f>
        <v/>
      </c>
      <c r="G86" s="7"/>
    </row>
    <row r="87">
      <c r="A87" s="3" t="inlineStr">
        <is>
          <t xml:space="preserve">CMPE453</t>
        </is>
      </c>
      <c r="B87" s="2" t="inlineStr">
        <is>
          <t xml:space="preserve">M13 · PWM for ARM Cortex</t>
        </is>
      </c>
      <c r="C87" s="4">
        <v>46366</v>
      </c>
      <c r="D87" s="8"/>
      <c r="E87" s="9"/>
      <c r="F87" s="3" t="str">
        <f>IF(E87="","",IF(E87&gt;=0.85,"Güçlü",IF(E87&gt;=0.7,"İyi — tekrar gerekli",IF(E87&gt;=0.5,"Eksik","Yeniden çalış"))))</f>
        <v/>
      </c>
      <c r="G87" s="7"/>
    </row>
  </sheetData>
  <autoFilter ref="A4:G87"/>
  <conditionalFormatting sqref="F5:F87">
    <cfRule type="expression" dxfId="0" priority="1">
      <formula>$E5&gt;=0.85</formula>
    </cfRule>
  </conditionalFormatting>
  <conditionalFormatting sqref="F5:F87">
    <cfRule type="expression" dxfId="1" priority="2">
      <formula>AND($E5&lt;&gt;"",$E5&gt;=0.7,$E5&lt;0.85)</formula>
    </cfRule>
  </conditionalFormatting>
  <conditionalFormatting sqref="F5:F87">
    <cfRule type="expression" dxfId="2" priority="3">
      <formula>AND($E5&lt;&gt;"",$E5&lt;0.7)</formula>
    </cfRule>
  </conditionalFormatting>
  <pageMargins left="0.5" right="0.5" top="0.6" bottom="0.6" header="0.3" footer="0.3"/>
  <pageSetup paperSize="9" orientation="landscape"/>
</worksheet>
</file>

<file path=xl/worksheets/sheet5.xml><?xml version="1.0" encoding="utf-8"?>
<worksheet xmlns="http://schemas.openxmlformats.org/spreadsheetml/2006/main">
  <sheetPr>
    <tabColor rgb="FFC62828"/>
  </sheetPr>
  <dimension ref="A1:H17"/>
  <sheetViews>
    <sheetView workbookViewId="0" showGridLines="0"/>
  </sheetViews>
  <sheetFormatPr defaultRowHeight="15"/>
  <cols>
    <col min="1" max="1" width="11" customWidth="1"/>
    <col min="2" max="2" width="38" customWidth="1"/>
    <col min="3" max="3" width="12" customWidth="1"/>
    <col min="4" max="4" width="12" customWidth="1"/>
    <col min="5" max="5" width="13" customWidth="1"/>
    <col min="6" max="6" width="26" customWidth="1"/>
    <col min="7" max="7" width="10" customWidth="1"/>
    <col min="8" max="8" width="80" customWidth="1"/>
  </cols>
  <sheetData>
    <row r="1">
      <c r="A1" s="10" t="inlineStr">
        <is>
          <t xml:space="preserve">Sınav ve teslim geri sayımı</t>
        </is>
      </c>
    </row>
    <row r="2">
      <c r="A2" s="11" t="inlineStr">
        <is>
          <t xml:space="preserve">Teyit Bekliyor = doğrulanmamış tarih. Kesin tarih öğrenince sarı hücreleri düzenle. Excel açıldığında TODAY() ile otomatik hesaplanır.</t>
        </is>
      </c>
    </row>
    <row r="4">
      <c r="A4" s="1" t="inlineStr">
        <is>
          <t xml:space="preserve">Ders</t>
        </is>
      </c>
      <c r="B4" s="1" t="inlineStr">
        <is>
          <t xml:space="preserve">Başlık</t>
        </is>
      </c>
      <c r="C4" s="1" t="inlineStr">
        <is>
          <t xml:space="preserve">Tarih</t>
        </is>
      </c>
      <c r="D4" s="1" t="inlineStr">
        <is>
          <t xml:space="preserve">Bitiş</t>
        </is>
      </c>
      <c r="E4" s="1" t="inlineStr">
        <is>
          <t xml:space="preserve">Saat</t>
        </is>
      </c>
      <c r="F4" s="1" t="inlineStr">
        <is>
          <t xml:space="preserve">Durum</t>
        </is>
      </c>
      <c r="G4" s="1" t="inlineStr">
        <is>
          <t xml:space="preserve">Gün kaldı</t>
        </is>
      </c>
      <c r="H4" s="1" t="inlineStr">
        <is>
          <t xml:space="preserve">Not</t>
        </is>
      </c>
    </row>
    <row r="5">
      <c r="A5" s="3" t="inlineStr">
        <is>
          <t xml:space="preserve">BIO110</t>
        </is>
      </c>
      <c r="B5" s="2" t="inlineStr">
        <is>
          <t xml:space="preserve">BIO110 Midterm 1</t>
        </is>
      </c>
      <c r="C5" s="8">
        <v>46329</v>
      </c>
      <c r="D5" s="8"/>
      <c r="E5" s="3" t="inlineStr">
        <is>
          <t xml:space="preserve">belli değil</t>
        </is>
      </c>
      <c r="F5" s="2" t="inlineStr">
        <is>
          <t xml:space="preserve">Kullanıcı teyitli</t>
        </is>
      </c>
      <c r="G5" s="6">
        <f>IF(C5="","",C5-TODAY())</f>
      </c>
      <c r="H5" s="2" t="inlineStr">
        <is>
          <t xml:space="preserve">Kullanıcı teyitli: 3 Kasım (syllabus satırı 5/6 Kas'ı gösteriyor ama kullanıcının tarihi esas). Kapsam B01–B09 varsayımı; saat belli değil.</t>
        </is>
      </c>
    </row>
    <row r="6">
      <c r="A6" s="3" t="inlineStr">
        <is>
          <t xml:space="preserve">CMPE371</t>
        </is>
      </c>
      <c r="B6" s="2" t="inlineStr">
        <is>
          <t xml:space="preserve">CMPE371 HW1 (2–6 Kas haftası)</t>
        </is>
      </c>
      <c r="C6" s="8">
        <v>46332</v>
      </c>
      <c r="D6" s="8"/>
      <c r="E6" s="3" t="inlineStr">
        <is>
          <t xml:space="preserve">belli değil</t>
        </is>
      </c>
      <c r="F6" s="2" t="inlineStr">
        <is>
          <t xml:space="preserve">Teyit Bekliyor</t>
        </is>
      </c>
      <c r="G6" s="6">
        <f>IF(C6="","",C6-TODAY())</f>
      </c>
      <c r="H6" s="2" t="inlineStr">
        <is>
          <t xml:space="preserve">Syllabus W6: HW 1. Tam teslim günü yok; en erken Cuma varsayıldı.</t>
        </is>
      </c>
    </row>
    <row r="7">
      <c r="A7" s="3" t="inlineStr">
        <is>
          <t xml:space="preserve">CMPE453</t>
        </is>
      </c>
      <c r="B7" s="2" t="inlineStr">
        <is>
          <t xml:space="preserve">CMPE453 Midterm</t>
        </is>
      </c>
      <c r="C7" s="8">
        <v>46338</v>
      </c>
      <c r="D7" s="8"/>
      <c r="E7" s="3" t="inlineStr">
        <is>
          <t xml:space="preserve">18:00–20:00</t>
        </is>
      </c>
      <c r="F7" s="2" t="inlineStr">
        <is>
          <t xml:space="preserve">Kesin (syllabus)</t>
        </is>
      </c>
      <c r="G7" s="6">
        <f>IF(C7="","",C7-TODAY())</f>
      </c>
      <c r="H7" s="2" t="inlineStr">
        <is>
          <t xml:space="preserve">Syllabus'ta 12 Kasım 18:00–20:00 yazıyor. Ağırlık syllabus'ta yok (30 varsayım). Kapsam W1–W7 varsayımı.</t>
        </is>
      </c>
    </row>
    <row r="8">
      <c r="A8" s="3" t="inlineStr">
        <is>
          <t xml:space="preserve">CMPE327</t>
        </is>
      </c>
      <c r="B8" s="2" t="inlineStr">
        <is>
          <t xml:space="preserve">CMPE327 Midterm (15 Kasım)</t>
        </is>
      </c>
      <c r="C8" s="8">
        <v>46341</v>
      </c>
      <c r="D8" s="8"/>
      <c r="E8" s="3" t="inlineStr">
        <is>
          <t xml:space="preserve">belli değil</t>
        </is>
      </c>
      <c r="F8" s="2" t="inlineStr">
        <is>
          <t xml:space="preserve">Kullanıcı teyitli</t>
        </is>
      </c>
      <c r="G8" s="6">
        <f>IF(C8="","",C8-TODAY())</f>
      </c>
      <c r="H8" s="2" t="inlineStr">
        <is>
          <t xml:space="preserve">Kullanıcı teyitli (el yazısı 15.11.2026, Pazar). Syllabus W8 (16–20 Kas) ile farklı; saat belli değil. Kapsam W1–W8 varsayımı.</t>
        </is>
      </c>
    </row>
    <row r="9">
      <c r="A9" s="3" t="inlineStr">
        <is>
          <t xml:space="preserve">CMPE421</t>
        </is>
      </c>
      <c r="B9" s="2" t="inlineStr">
        <is>
          <t xml:space="preserve">CMPE421 Midterm (20 Kasım)</t>
        </is>
      </c>
      <c r="C9" s="8">
        <v>46346</v>
      </c>
      <c r="D9" s="8"/>
      <c r="E9" s="3" t="inlineStr">
        <is>
          <t xml:space="preserve">belli değil</t>
        </is>
      </c>
      <c r="F9" s="2" t="inlineStr">
        <is>
          <t xml:space="preserve">Kullanıcı teyitli</t>
        </is>
      </c>
      <c r="G9" s="6">
        <f>IF(C9="","",C9-TODAY())</f>
      </c>
      <c r="H9" s="2" t="inlineStr">
        <is>
          <t xml:space="preserve">Kullanıcı teyitli (el yazısı 20 November). Saat belli değil. Kapsam W1–W9 varsayımı.</t>
        </is>
      </c>
    </row>
    <row r="10">
      <c r="A10" s="3" t="inlineStr">
        <is>
          <t xml:space="preserve">CMPE499</t>
        </is>
      </c>
      <c r="B10" s="2" t="inlineStr">
        <is>
          <t xml:space="preserve">CMPE499 Summer Training Report (STR)</t>
        </is>
      </c>
      <c r="C10" s="8">
        <v>46348</v>
      </c>
      <c r="D10" s="8"/>
      <c r="E10" s="3" t="inlineStr">
        <is>
          <t xml:space="preserve">belli değil</t>
        </is>
      </c>
      <c r="F10" s="2" t="inlineStr">
        <is>
          <t xml:space="preserve">Kesin (syllabus)</t>
        </is>
      </c>
      <c r="G10" s="6">
        <f>IF(C10="","",C10-TODAY())</f>
      </c>
      <c r="H10" s="2" t="inlineStr">
        <is>
          <t xml:space="preserve">Syllabus: Due Nov 22, 2026 (Pazar). Saat belli değil. Plan: 20 Kasım'da yükle.</t>
        </is>
      </c>
    </row>
    <row r="11">
      <c r="A11" s="3" t="inlineStr">
        <is>
          <t xml:space="preserve">CMPE371</t>
        </is>
      </c>
      <c r="B11" s="2" t="inlineStr">
        <is>
          <t xml:space="preserve">CMPE371 Midterm (23–27 Kas haftası)</t>
        </is>
      </c>
      <c r="C11" s="8">
        <v>46349</v>
      </c>
      <c r="D11" s="8">
        <v>46353</v>
      </c>
      <c r="E11" s="3" t="inlineStr">
        <is>
          <t xml:space="preserve">belli değil</t>
        </is>
      </c>
      <c r="F11" s="2" t="inlineStr">
        <is>
          <t xml:space="preserve">Teyit Bekliyor</t>
        </is>
      </c>
      <c r="G11" s="6">
        <f>IF(C11="","",C11-TODAY())</f>
      </c>
      <c r="H11" s="2" t="inlineStr">
        <is>
          <t xml:space="preserve">Syllabus W9: Midterm Exam. Gün/saat belli değil.</t>
        </is>
      </c>
    </row>
    <row r="12">
      <c r="A12" s="3" t="inlineStr">
        <is>
          <t xml:space="preserve">BIO110</t>
        </is>
      </c>
      <c r="B12" s="2" t="inlineStr">
        <is>
          <t xml:space="preserve">BIO110 Midterm 2 (26/27 Kas)</t>
        </is>
      </c>
      <c r="C12" s="8">
        <v>46352</v>
      </c>
      <c r="D12" s="8">
        <v>46353</v>
      </c>
      <c r="E12" s="3" t="inlineStr">
        <is>
          <t xml:space="preserve">belli değil</t>
        </is>
      </c>
      <c r="F12" s="2" t="inlineStr">
        <is>
          <t xml:space="preserve">Teyit Bekliyor</t>
        </is>
      </c>
      <c r="G12" s="6">
        <f>IF(C12="","",C12-TODAY())</f>
      </c>
      <c r="H12" s="2" t="inlineStr">
        <is>
          <t xml:space="preserve">Syllabus: 26/27.11 Second Midterm Review and Exam. Gün/saat belli değil.</t>
        </is>
      </c>
    </row>
    <row r="13">
      <c r="A13" s="3" t="inlineStr">
        <is>
          <t xml:space="preserve">CMPE499</t>
        </is>
      </c>
      <c r="B13" s="2" t="inlineStr">
        <is>
          <t xml:space="preserve">CMPE499 Summer Training Video</t>
        </is>
      </c>
      <c r="C13" s="8">
        <v>46355</v>
      </c>
      <c r="D13" s="8"/>
      <c r="E13" s="3" t="inlineStr">
        <is>
          <t xml:space="preserve">belli değil</t>
        </is>
      </c>
      <c r="F13" s="2" t="inlineStr">
        <is>
          <t xml:space="preserve">Kesin (syllabus)</t>
        </is>
      </c>
      <c r="G13" s="6">
        <f>IF(C13="","",C13-TODAY())</f>
      </c>
      <c r="H13" s="2" t="inlineStr">
        <is>
          <t xml:space="preserve">Syllabus: Due Nov 29, 2026 (Pazar). Saat belli değil. Plan: 26 Kasım'da yükle.</t>
        </is>
      </c>
    </row>
    <row r="14">
      <c r="A14" s="3" t="inlineStr">
        <is>
          <t xml:space="preserve">CMPE371</t>
        </is>
      </c>
      <c r="B14" s="2" t="inlineStr">
        <is>
          <t xml:space="preserve">CMPE371 Quiz 1 (7–11 Ara haftası)</t>
        </is>
      </c>
      <c r="C14" s="8">
        <v>46363</v>
      </c>
      <c r="D14" s="8">
        <v>46367</v>
      </c>
      <c r="E14" s="3" t="inlineStr">
        <is>
          <t xml:space="preserve">belli değil</t>
        </is>
      </c>
      <c r="F14" s="2" t="inlineStr">
        <is>
          <t xml:space="preserve">Teyit Bekliyor</t>
        </is>
      </c>
      <c r="G14" s="6">
        <f>IF(C14="","",C14-TODAY())</f>
      </c>
      <c r="H14" s="2" t="inlineStr">
        <is>
          <t xml:space="preserve">Syllabus W11: Quiz 1 ('Quiz 1 will be in Week 11').</t>
        </is>
      </c>
    </row>
    <row r="15">
      <c r="A15" s="3" t="inlineStr">
        <is>
          <t xml:space="preserve">BIO110</t>
        </is>
      </c>
      <c r="B15" s="2" t="inlineStr">
        <is>
          <t xml:space="preserve">BIO110 Proje sunumları (10–31 Ara)</t>
        </is>
      </c>
      <c r="C15" s="8">
        <v>46366</v>
      </c>
      <c r="D15" s="8">
        <v>46387</v>
      </c>
      <c r="E15" s="3" t="inlineStr">
        <is>
          <t xml:space="preserve">belli değil</t>
        </is>
      </c>
      <c r="F15" s="2" t="inlineStr">
        <is>
          <t xml:space="preserve">Teyit Bekliyor (aralık)</t>
        </is>
      </c>
      <c r="G15" s="6">
        <f>IF(C15="","",C15-TODAY())</f>
      </c>
      <c r="H15" s="2" t="inlineStr">
        <is>
          <t xml:space="preserve">Syllabus: 10/11.12 – 31.12 Project Presentations. Bireysel 15–20 slayt. Sıra/gün belli değil; 9 Aralık'a hazır ol.</t>
        </is>
      </c>
    </row>
    <row r="16">
      <c r="A16" s="3" t="inlineStr">
        <is>
          <t xml:space="preserve">CMPE327</t>
        </is>
      </c>
      <c r="B16" s="2" t="inlineStr">
        <is>
          <t xml:space="preserve">CMPE327 Quiz-2 (14–18 Ara haftası)</t>
        </is>
      </c>
      <c r="C16" s="8">
        <v>46370</v>
      </c>
      <c r="D16" s="8">
        <v>46374</v>
      </c>
      <c r="E16" s="3" t="inlineStr">
        <is>
          <t xml:space="preserve">belli değil</t>
        </is>
      </c>
      <c r="F16" s="2" t="inlineStr">
        <is>
          <t xml:space="preserve">Teyit Bekliyor</t>
        </is>
      </c>
      <c r="G16" s="6">
        <f>IF(C16="","",C16-TODAY())</f>
      </c>
      <c r="H16" s="2" t="inlineStr">
        <is>
          <t xml:space="preserve">Syllabus W12: Quiz-2.</t>
        </is>
      </c>
    </row>
    <row r="17">
      <c r="A17" s="3" t="inlineStr">
        <is>
          <t xml:space="preserve">GENEL</t>
        </is>
      </c>
      <c r="B17" s="2" t="inlineStr">
        <is>
          <t xml:space="preserve">Final sınavları (W14 sonrası)</t>
        </is>
      </c>
      <c r="C17" s="8"/>
      <c r="D17" s="8"/>
      <c r="E17" s="3" t="inlineStr">
        <is>
          <t xml:space="preserve">belli değil</t>
        </is>
      </c>
      <c r="F17" s="2" t="inlineStr">
        <is>
          <t xml:space="preserve">Duyurulacak</t>
        </is>
      </c>
      <c r="G17" s="6">
        <f>IF(C17="","",C17-TODAY())</f>
      </c>
      <c r="H17" s="2" t="inlineStr">
        <is>
          <t xml:space="preserve">Tarihler duyurulacak. Kesin tarih UYDURULMADI; plan 31 Aralık'a kadar kümülatif tekrarla biter.</t>
        </is>
      </c>
    </row>
  </sheetData>
  <conditionalFormatting sqref="A5:H17">
    <cfRule type="expression" dxfId="2" priority="1">
      <formula>AND(ISNUMBER($G5),$G5&gt;=0,$G5&lt;=7)</formula>
    </cfRule>
  </conditionalFormatting>
  <conditionalFormatting sqref="A5:H17">
    <cfRule type="expression" dxfId="1" priority="2">
      <formula>AND(ISNUMBER($G5),$G5&gt;7,$G5&lt;=14)</formula>
    </cfRule>
  </conditionalFormatting>
  <conditionalFormatting sqref="A5:H17">
    <cfRule type="expression" dxfId="3" priority="3">
      <formula>AND(ISNUMBER($G5),$G5&lt;0)</formula>
    </cfRule>
  </conditionalFormatting>
  <pageMargins left="0.5" right="0.5" top="0.6" bottom="0.6" header="0.3" footer="0.3"/>
  <pageSetup paperSize="9" orientation="landscape"/>
</worksheet>
</file>

<file path=xl/worksheets/sheet6.xml><?xml version="1.0" encoding="utf-8"?>
<worksheet xmlns="http://schemas.openxmlformats.org/spreadsheetml/2006/main">
  <sheetPr>
    <tabColor rgb="FFEF6C00"/>
  </sheetPr>
  <dimension ref="A1:G13"/>
  <sheetViews>
    <sheetView workbookViewId="0" showGridLines="0"/>
  </sheetViews>
  <sheetFormatPr defaultRowHeight="15"/>
  <cols>
    <col min="1" max="1" width="11" customWidth="1"/>
    <col min="2" max="2" width="34" customWidth="1"/>
    <col min="3" max="3" width="14" customWidth="1"/>
    <col min="4" max="4" width="12" customWidth="1"/>
    <col min="5" max="5" width="13" customWidth="1"/>
    <col min="6" max="6" width="10" customWidth="1"/>
    <col min="7" max="7" width="70" customWidth="1"/>
  </cols>
  <sheetData>
    <row r="1">
      <c r="A1" s="10" t="inlineStr">
        <is>
          <t xml:space="preserve">Ödev / teslim / quiz takibi</t>
        </is>
      </c>
    </row>
    <row r="3">
      <c r="A3" s="1" t="inlineStr">
        <is>
          <t xml:space="preserve">Ders</t>
        </is>
      </c>
      <c r="B3" s="1" t="inlineStr">
        <is>
          <t xml:space="preserve">Teslim / Ödev</t>
        </is>
      </c>
      <c r="C3" s="1" t="inlineStr">
        <is>
          <t xml:space="preserve">Resmi son tarih</t>
        </is>
      </c>
      <c r="D3" s="1" t="inlineStr">
        <is>
          <t xml:space="preserve">İç hedef</t>
        </is>
      </c>
      <c r="E3" s="1" t="inlineStr">
        <is>
          <t xml:space="preserve">Durum</t>
        </is>
      </c>
      <c r="F3" s="1" t="inlineStr">
        <is>
          <t xml:space="preserve">Gün kaldı</t>
        </is>
      </c>
      <c r="G3" s="1" t="inlineStr">
        <is>
          <t xml:space="preserve">Not</t>
        </is>
      </c>
    </row>
    <row r="4">
      <c r="A4" s="3" t="inlineStr">
        <is>
          <t xml:space="preserve">CMPE499</t>
        </is>
      </c>
      <c r="B4" s="2" t="inlineStr">
        <is>
          <t xml:space="preserve">Evaluation Form</t>
        </is>
      </c>
      <c r="C4" s="8">
        <v>46302</v>
      </c>
      <c r="D4" s="8"/>
      <c r="E4" s="7" t="inlineStr">
        <is>
          <t xml:space="preserve">Completed</t>
        </is>
      </c>
      <c r="F4" s="6">
        <f>IF(C4="","",C4-TODAY())</f>
      </c>
      <c r="G4" s="2" t="inlineStr">
        <is>
          <t xml:space="preserve">Kullanıcı: teslim edildi.</t>
        </is>
      </c>
    </row>
    <row r="5">
      <c r="A5" s="3" t="inlineStr">
        <is>
          <t xml:space="preserve">CMPE499</t>
        </is>
      </c>
      <c r="B5" s="2" t="inlineStr">
        <is>
          <t xml:space="preserve">Summer Training Report (STR)</t>
        </is>
      </c>
      <c r="C5" s="8">
        <v>46348</v>
      </c>
      <c r="D5" s="8">
        <v>46346</v>
      </c>
      <c r="E5" s="7" t="inlineStr">
        <is>
          <t xml:space="preserve">Not Started</t>
        </is>
      </c>
      <c r="F5" s="6">
        <f>IF(C5="","",C5-TODAY())</f>
      </c>
      <c r="G5" s="2" t="inlineStr">
        <is>
          <t xml:space="preserve">Resmi son: Pazar. Plan: 2 gün erken yükle.</t>
        </is>
      </c>
    </row>
    <row r="6">
      <c r="A6" s="3" t="inlineStr">
        <is>
          <t xml:space="preserve">CMPE499</t>
        </is>
      </c>
      <c r="B6" s="2" t="inlineStr">
        <is>
          <t xml:space="preserve">Summer Training Video</t>
        </is>
      </c>
      <c r="C6" s="8">
        <v>46355</v>
      </c>
      <c r="D6" s="8">
        <v>46351</v>
      </c>
      <c r="E6" s="7" t="inlineStr">
        <is>
          <t xml:space="preserve">Not Started</t>
        </is>
      </c>
      <c r="F6" s="6">
        <f>IF(C6="","",C6-TODAY())</f>
      </c>
      <c r="G6" s="2" t="inlineStr">
        <is>
          <t xml:space="preserve">Resmi son: Pazar. Plan: 3 gün erken yükle.</t>
        </is>
      </c>
    </row>
    <row r="7">
      <c r="A7" s="3" t="inlineStr">
        <is>
          <t xml:space="preserve">CMPE371</t>
        </is>
      </c>
      <c r="B7" s="2" t="inlineStr">
        <is>
          <t xml:space="preserve">HW 1 (Teyit Bekliyor)</t>
        </is>
      </c>
      <c r="C7" s="8">
        <v>46332</v>
      </c>
      <c r="D7" s="8">
        <v>46334</v>
      </c>
      <c r="E7" s="7" t="inlineStr">
        <is>
          <t xml:space="preserve">Not Started</t>
        </is>
      </c>
      <c r="F7" s="6">
        <f>IF(C7="","",C7-TODAY())</f>
      </c>
      <c r="G7" s="2" t="inlineStr">
        <is>
          <t xml:space="preserve">Syllabus W6 (2–6 Kas). Kesin gün yok; Cuma varsayıldı.</t>
        </is>
      </c>
    </row>
    <row r="8">
      <c r="A8" s="3" t="inlineStr">
        <is>
          <t xml:space="preserve">CMPE371</t>
        </is>
      </c>
      <c r="B8" s="2" t="inlineStr">
        <is>
          <t xml:space="preserve">Quiz 1 (Teyit Bekliyor)</t>
        </is>
      </c>
      <c r="C8" s="8">
        <v>46363</v>
      </c>
      <c r="D8" s="8">
        <v>46359</v>
      </c>
      <c r="E8" s="7" t="inlineStr">
        <is>
          <t xml:space="preserve">Not Started</t>
        </is>
      </c>
      <c r="F8" s="6">
        <f>IF(C8="","",C8-TODAY())</f>
      </c>
      <c r="G8" s="2" t="inlineStr">
        <is>
          <t xml:space="preserve">Syllabus W11 (7–11 Ara).</t>
        </is>
      </c>
    </row>
    <row r="9">
      <c r="A9" s="3" t="inlineStr">
        <is>
          <t xml:space="preserve">CMPE327</t>
        </is>
      </c>
      <c r="B9" s="2" t="inlineStr">
        <is>
          <t xml:space="preserve">Quiz-2 (Teyit Bekliyor)</t>
        </is>
      </c>
      <c r="C9" s="8">
        <v>46370</v>
      </c>
      <c r="D9" s="8">
        <v>46363</v>
      </c>
      <c r="E9" s="7" t="inlineStr">
        <is>
          <t xml:space="preserve">Not Started</t>
        </is>
      </c>
      <c r="F9" s="6">
        <f>IF(C9="","",C9-TODAY())</f>
      </c>
      <c r="G9" s="2" t="inlineStr">
        <is>
          <t xml:space="preserve">Syllabus W12 (14–18 Ara).</t>
        </is>
      </c>
    </row>
    <row r="10">
      <c r="A10" s="3" t="inlineStr">
        <is>
          <t xml:space="preserve">BIO110</t>
        </is>
      </c>
      <c r="B10" s="2" t="inlineStr">
        <is>
          <t xml:space="preserve">Proje sunumu (15–20 slayt)</t>
        </is>
      </c>
      <c r="C10" s="8">
        <v>46366</v>
      </c>
      <c r="D10" s="8">
        <v>46361</v>
      </c>
      <c r="E10" s="7" t="inlineStr">
        <is>
          <t xml:space="preserve">Not Started</t>
        </is>
      </c>
      <c r="F10" s="6">
        <f>IF(C10="","",C10-TODAY())</f>
      </c>
      <c r="G10" s="2" t="inlineStr">
        <is>
          <t xml:space="preserve">Sunum penceresi 10–31 Ara; sıra belli değil.</t>
        </is>
      </c>
    </row>
    <row r="11">
      <c r="A11" s="3" t="inlineStr">
        <is>
          <t xml:space="preserve">CMPE327</t>
        </is>
      </c>
      <c r="B11" s="2" t="inlineStr">
        <is>
          <t xml:space="preserve">Midterm (kullanıcı teyitli)</t>
        </is>
      </c>
      <c r="C11" s="8">
        <v>46341</v>
      </c>
      <c r="D11" s="8">
        <v>46340</v>
      </c>
      <c r="E11" s="7" t="inlineStr">
        <is>
          <t xml:space="preserve">Not Started</t>
        </is>
      </c>
      <c r="F11" s="6">
        <f>IF(C11="","",C11-TODAY())</f>
      </c>
      <c r="G11" s="2" t="inlineStr">
        <is>
          <t xml:space="preserve">El yazısı 15.11.2026 (Pazar); saat belli değil.</t>
        </is>
      </c>
    </row>
    <row r="12">
      <c r="A12" s="3" t="inlineStr">
        <is>
          <t xml:space="preserve">CMPE421</t>
        </is>
      </c>
      <c r="B12" s="2" t="inlineStr">
        <is>
          <t xml:space="preserve">Midterm (kullanıcı teyitli)</t>
        </is>
      </c>
      <c r="C12" s="8">
        <v>46346</v>
      </c>
      <c r="D12" s="8">
        <v>46344</v>
      </c>
      <c r="E12" s="7" t="inlineStr">
        <is>
          <t xml:space="preserve">Not Started</t>
        </is>
      </c>
      <c r="F12" s="6">
        <f>IF(C12="","",C12-TODAY())</f>
      </c>
      <c r="G12" s="2" t="inlineStr">
        <is>
          <t xml:space="preserve">El yazısı 20 Kasım; saat belli değil.</t>
        </is>
      </c>
    </row>
    <row r="13">
      <c r="A13" s="3" t="inlineStr">
        <is>
          <t xml:space="preserve">CMPE421</t>
        </is>
      </c>
      <c r="B13" s="2" t="inlineStr">
        <is>
          <t xml:space="preserve">Homework(lar) %30</t>
        </is>
      </c>
      <c r="C13" s="8"/>
      <c r="D13" s="8">
        <v>46361</v>
      </c>
      <c r="E13" s="7" t="inlineStr">
        <is>
          <t xml:space="preserve">Not Started</t>
        </is>
      </c>
      <c r="F13" s="6">
        <f>IF(C13="","",C13-TODAY())</f>
      </c>
      <c r="G13" s="2" t="inlineStr">
        <is>
          <t xml:space="preserve">Teslim tarihi/sayısı syllabus'ta yok — doğrula.</t>
        </is>
      </c>
    </row>
  </sheetData>
  <conditionalFormatting sqref="A4:G13">
    <cfRule type="expression" dxfId="0" priority="1">
      <formula>$E4="Completed"</formula>
    </cfRule>
  </conditionalFormatting>
  <conditionalFormatting sqref="A4:G13">
    <cfRule type="expression" dxfId="2" priority="2">
      <formula>AND($E4&lt;&gt;"Completed",ISNUMBER($F4),$F4&lt;0)</formula>
    </cfRule>
  </conditionalFormatting>
  <conditionalFormatting sqref="A4:G13">
    <cfRule type="expression" dxfId="1" priority="3">
      <formula>AND($E4&lt;&gt;"Completed",ISNUMBER($F4),$F4&gt;=0,$F4&lt;=7)</formula>
    </cfRule>
  </conditionalFormatting>
  <dataValidations count="1">
    <dataValidation type="list" allowBlank="1" showErrorMessage="1" sqref="E4:E13">
      <formula1>"Not Started,In Progress,Completed,Postponed,Blocked"</formula1>
    </dataValidation>
  </dataValidations>
  <pageMargins left="0.5" right="0.5" top="0.6" bottom="0.6" header="0.3" footer="0.3"/>
  <pageSetup paperSize="9" orientation="landscape"/>
</worksheet>
</file>

<file path=xl/worksheets/sheet7.xml><?xml version="1.0" encoding="utf-8"?>
<worksheet xmlns="http://schemas.openxmlformats.org/spreadsheetml/2006/main">
  <sheetPr>
    <tabColor rgb="FF00838F"/>
  </sheetPr>
  <dimension ref="A1:K87"/>
  <sheetViews>
    <sheetView workbookViewId="0" showGridLines="0">
      <pane ySplit="4" topLeftCell="A5" activePane="bottomLeft" state="frozen"/>
    </sheetView>
  </sheetViews>
  <sheetFormatPr defaultRowHeight="15"/>
  <cols>
    <col min="1" max="1" width="11" customWidth="1"/>
    <col min="2" max="2" width="5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0" t="inlineStr">
        <is>
          <t xml:space="preserve">Aralıklı tekrar takvimi (D+1, D+3, D+7, D+14)</t>
        </is>
      </c>
    </row>
    <row r="2">
      <c r="A2" s="11" t="inlineStr">
        <is>
          <t xml:space="preserve">Sınav yaklaşınca sıkıştır; iyi öğrenilen konuda azalt (Topic Mastery). Günlük görevlerdeki 'Tekrar' satırları aynı kaynaktan üretilir.</t>
        </is>
      </c>
    </row>
    <row r="4">
      <c r="A4" s="1" t="inlineStr">
        <is>
          <t xml:space="preserve">Ders</t>
        </is>
      </c>
      <c r="B4" s="1" t="inlineStr">
        <is>
          <t xml:space="preserve">Konu / Blok</t>
        </is>
      </c>
      <c r="C4" s="1" t="inlineStr">
        <is>
          <t xml:space="preserve">Öğrenme</t>
        </is>
      </c>
      <c r="D4" s="1" t="inlineStr">
        <is>
          <t xml:space="preserve">D+1</t>
        </is>
      </c>
      <c r="E4" s="1" t="inlineStr">
        <is>
          <t xml:space="preserve">D+3</t>
        </is>
      </c>
      <c r="F4" s="1" t="inlineStr">
        <is>
          <t xml:space="preserve">D+7</t>
        </is>
      </c>
      <c r="G4" s="1" t="inlineStr">
        <is>
          <t xml:space="preserve">D+14</t>
        </is>
      </c>
      <c r="H4" s="1" t="inlineStr">
        <is>
          <t xml:space="preserve">D+1 ✓</t>
        </is>
      </c>
      <c r="I4" s="1" t="inlineStr">
        <is>
          <t xml:space="preserve">D+3 ✓</t>
        </is>
      </c>
      <c r="J4" s="1" t="inlineStr">
        <is>
          <t xml:space="preserve">D+7 ✓</t>
        </is>
      </c>
      <c r="K4" s="1" t="inlineStr">
        <is>
          <t xml:space="preserve">D+14 ✓</t>
        </is>
      </c>
    </row>
    <row r="5">
      <c r="A5" s="3" t="inlineStr">
        <is>
          <t xml:space="preserve">BIO110</t>
        </is>
      </c>
      <c r="B5" s="2" t="inlineStr">
        <is>
          <t xml:space="preserve">B01 · The Chemical Context of Life</t>
        </is>
      </c>
      <c r="C5" s="4">
        <v>46325</v>
      </c>
      <c r="D5" s="4">
        <v>46326</v>
      </c>
      <c r="E5" s="4">
        <v>46328</v>
      </c>
      <c r="F5" s="4">
        <v>46332</v>
      </c>
      <c r="G5" s="4">
        <v>46339</v>
      </c>
      <c r="H5" s="7" t="inlineStr">
        <is>
          <t xml:space="preserve">Pending</t>
        </is>
      </c>
      <c r="I5" s="7" t="inlineStr">
        <is>
          <t xml:space="preserve">Pending</t>
        </is>
      </c>
      <c r="J5" s="7" t="inlineStr">
        <is>
          <t xml:space="preserve">Pending</t>
        </is>
      </c>
      <c r="K5" s="7" t="inlineStr">
        <is>
          <t xml:space="preserve">Pending</t>
        </is>
      </c>
    </row>
    <row r="6">
      <c r="A6" s="3" t="inlineStr">
        <is>
          <t xml:space="preserve">BIO110</t>
        </is>
      </c>
      <c r="B6" s="2" t="inlineStr">
        <is>
          <t xml:space="preserve">B02 · Water and Life</t>
        </is>
      </c>
      <c r="C6" s="4">
        <v>46325</v>
      </c>
      <c r="D6" s="4">
        <v>46326</v>
      </c>
      <c r="E6" s="4">
        <v>46328</v>
      </c>
      <c r="F6" s="4">
        <v>46332</v>
      </c>
      <c r="G6" s="4">
        <v>46339</v>
      </c>
      <c r="H6" s="7" t="inlineStr">
        <is>
          <t xml:space="preserve">Pending</t>
        </is>
      </c>
      <c r="I6" s="7" t="inlineStr">
        <is>
          <t xml:space="preserve">Pending</t>
        </is>
      </c>
      <c r="J6" s="7" t="inlineStr">
        <is>
          <t xml:space="preserve">Pending</t>
        </is>
      </c>
      <c r="K6" s="7" t="inlineStr">
        <is>
          <t xml:space="preserve">Pending</t>
        </is>
      </c>
    </row>
    <row r="7">
      <c r="A7" s="3" t="inlineStr">
        <is>
          <t xml:space="preserve">BIO110</t>
        </is>
      </c>
      <c r="B7" s="2" t="inlineStr">
        <is>
          <t xml:space="preserve">B03 · Carbon and Molecular Diversity</t>
        </is>
      </c>
      <c r="C7" s="4">
        <v>46325</v>
      </c>
      <c r="D7" s="4">
        <v>46326</v>
      </c>
      <c r="E7" s="4">
        <v>46328</v>
      </c>
      <c r="F7" s="4">
        <v>46332</v>
      </c>
      <c r="G7" s="4">
        <v>46339</v>
      </c>
      <c r="H7" s="7" t="inlineStr">
        <is>
          <t xml:space="preserve">Pending</t>
        </is>
      </c>
      <c r="I7" s="7" t="inlineStr">
        <is>
          <t xml:space="preserve">Pending</t>
        </is>
      </c>
      <c r="J7" s="7" t="inlineStr">
        <is>
          <t xml:space="preserve">Pending</t>
        </is>
      </c>
      <c r="K7" s="7" t="inlineStr">
        <is>
          <t xml:space="preserve">Pending</t>
        </is>
      </c>
    </row>
    <row r="8">
      <c r="A8" s="3" t="inlineStr">
        <is>
          <t xml:space="preserve">BIO110</t>
        </is>
      </c>
      <c r="B8" s="2" t="inlineStr">
        <is>
          <t xml:space="preserve">B04a · Büyük moleküller I: karbonhidrat + lipid</t>
        </is>
      </c>
      <c r="C8" s="4">
        <v>46326</v>
      </c>
      <c r="D8" s="4">
        <v>46327</v>
      </c>
      <c r="E8" s="4">
        <v>46329</v>
      </c>
      <c r="F8" s="4">
        <v>46333</v>
      </c>
      <c r="G8" s="4">
        <v>46340</v>
      </c>
      <c r="H8" s="7" t="inlineStr">
        <is>
          <t xml:space="preserve">Pending</t>
        </is>
      </c>
      <c r="I8" s="7" t="inlineStr">
        <is>
          <t xml:space="preserve">Pending</t>
        </is>
      </c>
      <c r="J8" s="7" t="inlineStr">
        <is>
          <t xml:space="preserve">Pending</t>
        </is>
      </c>
      <c r="K8" s="7" t="inlineStr">
        <is>
          <t xml:space="preserve">Pending</t>
        </is>
      </c>
    </row>
    <row r="9">
      <c r="A9" s="3" t="inlineStr">
        <is>
          <t xml:space="preserve">BIO110</t>
        </is>
      </c>
      <c r="B9" s="2" t="inlineStr">
        <is>
          <t xml:space="preserve">B04b · Büyük moleküller II: protein + nükleik asit</t>
        </is>
      </c>
      <c r="C9" s="4">
        <v>46326</v>
      </c>
      <c r="D9" s="4">
        <v>46327</v>
      </c>
      <c r="E9" s="4">
        <v>46329</v>
      </c>
      <c r="F9" s="4">
        <v>46333</v>
      </c>
      <c r="G9" s="4">
        <v>46340</v>
      </c>
      <c r="H9" s="7" t="inlineStr">
        <is>
          <t xml:space="preserve">Pending</t>
        </is>
      </c>
      <c r="I9" s="7" t="inlineStr">
        <is>
          <t xml:space="preserve">Pending</t>
        </is>
      </c>
      <c r="J9" s="7" t="inlineStr">
        <is>
          <t xml:space="preserve">Pending</t>
        </is>
      </c>
      <c r="K9" s="7" t="inlineStr">
        <is>
          <t xml:space="preserve">Pending</t>
        </is>
      </c>
    </row>
    <row r="10">
      <c r="A10" s="3" t="inlineStr">
        <is>
          <t xml:space="preserve">BIO110</t>
        </is>
      </c>
      <c r="B10" s="2" t="inlineStr">
        <is>
          <t xml:space="preserve">B05a · Hücre turu I</t>
        </is>
      </c>
      <c r="C10" s="4">
        <v>46326</v>
      </c>
      <c r="D10" s="4">
        <v>46327</v>
      </c>
      <c r="E10" s="4">
        <v>46329</v>
      </c>
      <c r="F10" s="4">
        <v>46333</v>
      </c>
      <c r="G10" s="4">
        <v>46340</v>
      </c>
      <c r="H10" s="7" t="inlineStr">
        <is>
          <t xml:space="preserve">Pending</t>
        </is>
      </c>
      <c r="I10" s="7" t="inlineStr">
        <is>
          <t xml:space="preserve">Pending</t>
        </is>
      </c>
      <c r="J10" s="7" t="inlineStr">
        <is>
          <t xml:space="preserve">Pending</t>
        </is>
      </c>
      <c r="K10" s="7" t="inlineStr">
        <is>
          <t xml:space="preserve">Pending</t>
        </is>
      </c>
    </row>
    <row r="11">
      <c r="A11" s="3" t="inlineStr">
        <is>
          <t xml:space="preserve">BIO110</t>
        </is>
      </c>
      <c r="B11" s="2" t="inlineStr">
        <is>
          <t xml:space="preserve">B05b · Hücre turu II</t>
        </is>
      </c>
      <c r="C11" s="4">
        <v>46327</v>
      </c>
      <c r="D11" s="4">
        <v>46328</v>
      </c>
      <c r="E11" s="4">
        <v>46330</v>
      </c>
      <c r="F11" s="4">
        <v>46334</v>
      </c>
      <c r="G11" s="4">
        <v>46341</v>
      </c>
      <c r="H11" s="7" t="inlineStr">
        <is>
          <t xml:space="preserve">Pending</t>
        </is>
      </c>
      <c r="I11" s="7" t="inlineStr">
        <is>
          <t xml:space="preserve">Pending</t>
        </is>
      </c>
      <c r="J11" s="7" t="inlineStr">
        <is>
          <t xml:space="preserve">Pending</t>
        </is>
      </c>
      <c r="K11" s="7" t="inlineStr">
        <is>
          <t xml:space="preserve">Pending</t>
        </is>
      </c>
    </row>
    <row r="12">
      <c r="A12" s="3" t="inlineStr">
        <is>
          <t xml:space="preserve">BIO110</t>
        </is>
      </c>
      <c r="B12" s="2" t="inlineStr">
        <is>
          <t xml:space="preserve">B06 · Membrane Structure and Function</t>
        </is>
      </c>
      <c r="C12" s="4">
        <v>46327</v>
      </c>
      <c r="D12" s="4">
        <v>46328</v>
      </c>
      <c r="E12" s="4">
        <v>46330</v>
      </c>
      <c r="F12" s="4">
        <v>46334</v>
      </c>
      <c r="G12" s="4">
        <v>46341</v>
      </c>
      <c r="H12" s="7" t="inlineStr">
        <is>
          <t xml:space="preserve">Pending</t>
        </is>
      </c>
      <c r="I12" s="7" t="inlineStr">
        <is>
          <t xml:space="preserve">Pending</t>
        </is>
      </c>
      <c r="J12" s="7" t="inlineStr">
        <is>
          <t xml:space="preserve">Pending</t>
        </is>
      </c>
      <c r="K12" s="7" t="inlineStr">
        <is>
          <t xml:space="preserve">Pending</t>
        </is>
      </c>
    </row>
    <row r="13">
      <c r="A13" s="3" t="inlineStr">
        <is>
          <t xml:space="preserve">BIO110</t>
        </is>
      </c>
      <c r="B13" s="2" t="inlineStr">
        <is>
          <t xml:space="preserve">B07 · An Introduction to Metabolism</t>
        </is>
      </c>
      <c r="C13" s="4">
        <v>46327</v>
      </c>
      <c r="D13" s="4">
        <v>46328</v>
      </c>
      <c r="E13" s="4">
        <v>46330</v>
      </c>
      <c r="F13" s="4">
        <v>46334</v>
      </c>
      <c r="G13" s="4">
        <v>46341</v>
      </c>
      <c r="H13" s="7" t="inlineStr">
        <is>
          <t xml:space="preserve">Pending</t>
        </is>
      </c>
      <c r="I13" s="7" t="inlineStr">
        <is>
          <t xml:space="preserve">Pending</t>
        </is>
      </c>
      <c r="J13" s="7" t="inlineStr">
        <is>
          <t xml:space="preserve">Pending</t>
        </is>
      </c>
      <c r="K13" s="7" t="inlineStr">
        <is>
          <t xml:space="preserve">Pending</t>
        </is>
      </c>
    </row>
    <row r="14">
      <c r="A14" s="3" t="inlineStr">
        <is>
          <t xml:space="preserve">BIO110</t>
        </is>
      </c>
      <c r="B14" s="2" t="inlineStr">
        <is>
          <t xml:space="preserve">B08 · Cellular Respiration</t>
        </is>
      </c>
      <c r="C14" s="4">
        <v>46327</v>
      </c>
      <c r="D14" s="4">
        <v>46328</v>
      </c>
      <c r="E14" s="4">
        <v>46330</v>
      </c>
      <c r="F14" s="4">
        <v>46334</v>
      </c>
      <c r="G14" s="4">
        <v>46341</v>
      </c>
      <c r="H14" s="7" t="inlineStr">
        <is>
          <t xml:space="preserve">Pending</t>
        </is>
      </c>
      <c r="I14" s="7" t="inlineStr">
        <is>
          <t xml:space="preserve">Pending</t>
        </is>
      </c>
      <c r="J14" s="7" t="inlineStr">
        <is>
          <t xml:space="preserve">Pending</t>
        </is>
      </c>
      <c r="K14" s="7" t="inlineStr">
        <is>
          <t xml:space="preserve">Pending</t>
        </is>
      </c>
    </row>
    <row r="15">
      <c r="A15" s="3" t="inlineStr">
        <is>
          <t xml:space="preserve">BIO110</t>
        </is>
      </c>
      <c r="B15" s="2" t="inlineStr">
        <is>
          <t xml:space="preserve">B09 · Photosynthesis</t>
        </is>
      </c>
      <c r="C15" s="4">
        <v>46328</v>
      </c>
      <c r="D15" s="4">
        <v>46329</v>
      </c>
      <c r="E15" s="4">
        <v>46331</v>
      </c>
      <c r="F15" s="4">
        <v>46335</v>
      </c>
      <c r="G15" s="4">
        <v>46342</v>
      </c>
      <c r="H15" s="7" t="inlineStr">
        <is>
          <t xml:space="preserve">Pending</t>
        </is>
      </c>
      <c r="I15" s="7" t="inlineStr">
        <is>
          <t xml:space="preserve">Pending</t>
        </is>
      </c>
      <c r="J15" s="7" t="inlineStr">
        <is>
          <t xml:space="preserve">Pending</t>
        </is>
      </c>
      <c r="K15" s="7" t="inlineStr">
        <is>
          <t xml:space="preserve">Pending</t>
        </is>
      </c>
    </row>
    <row r="16">
      <c r="A16" s="3" t="inlineStr">
        <is>
          <t xml:space="preserve">BIO110</t>
        </is>
      </c>
      <c r="B16" s="2" t="inlineStr">
        <is>
          <t xml:space="preserve">B10 · The Cell Cycle and Cellular Reproduction</t>
        </is>
      </c>
      <c r="C16" s="4">
        <v>46339</v>
      </c>
      <c r="D16" s="4">
        <v>46340</v>
      </c>
      <c r="E16" s="4">
        <v>46342</v>
      </c>
      <c r="F16" s="4">
        <v>46346</v>
      </c>
      <c r="G16" s="4">
        <v>46353</v>
      </c>
      <c r="H16" s="7" t="inlineStr">
        <is>
          <t xml:space="preserve">Pending</t>
        </is>
      </c>
      <c r="I16" s="7" t="inlineStr">
        <is>
          <t xml:space="preserve">Pending</t>
        </is>
      </c>
      <c r="J16" s="7" t="inlineStr">
        <is>
          <t xml:space="preserve">Pending</t>
        </is>
      </c>
      <c r="K16" s="7" t="inlineStr">
        <is>
          <t xml:space="preserve">Pending</t>
        </is>
      </c>
    </row>
    <row r="17">
      <c r="A17" s="3" t="inlineStr">
        <is>
          <t xml:space="preserve">BIO110</t>
        </is>
      </c>
      <c r="B17" s="2" t="inlineStr">
        <is>
          <t xml:space="preserve">B11 · Mendel and the Gene Idea</t>
        </is>
      </c>
      <c r="C17" s="4">
        <v>46340</v>
      </c>
      <c r="D17" s="4">
        <v>46341</v>
      </c>
      <c r="E17" s="4">
        <v>46343</v>
      </c>
      <c r="F17" s="4">
        <v>46347</v>
      </c>
      <c r="G17" s="4">
        <v>46354</v>
      </c>
      <c r="H17" s="7" t="inlineStr">
        <is>
          <t xml:space="preserve">Pending</t>
        </is>
      </c>
      <c r="I17" s="7" t="inlineStr">
        <is>
          <t xml:space="preserve">Pending</t>
        </is>
      </c>
      <c r="J17" s="7" t="inlineStr">
        <is>
          <t xml:space="preserve">Pending</t>
        </is>
      </c>
      <c r="K17" s="7" t="inlineStr">
        <is>
          <t xml:space="preserve">Pending</t>
        </is>
      </c>
    </row>
    <row r="18">
      <c r="A18" s="3" t="inlineStr">
        <is>
          <t xml:space="preserve">BIO110</t>
        </is>
      </c>
      <c r="B18" s="2" t="inlineStr">
        <is>
          <t xml:space="preserve">B12 · Chromosomal Basis of Inheritance</t>
        </is>
      </c>
      <c r="C18" s="4">
        <v>46341</v>
      </c>
      <c r="D18" s="4">
        <v>46342</v>
      </c>
      <c r="E18" s="4">
        <v>46344</v>
      </c>
      <c r="F18" s="4">
        <v>46348</v>
      </c>
      <c r="G18" s="4">
        <v>46355</v>
      </c>
      <c r="H18" s="7" t="inlineStr">
        <is>
          <t xml:space="preserve">Pending</t>
        </is>
      </c>
      <c r="I18" s="7" t="inlineStr">
        <is>
          <t xml:space="preserve">Pending</t>
        </is>
      </c>
      <c r="J18" s="7" t="inlineStr">
        <is>
          <t xml:space="preserve">Pending</t>
        </is>
      </c>
      <c r="K18" s="7" t="inlineStr">
        <is>
          <t xml:space="preserve">Pending</t>
        </is>
      </c>
    </row>
    <row r="19">
      <c r="A19" s="3" t="inlineStr">
        <is>
          <t xml:space="preserve">BIO110</t>
        </is>
      </c>
      <c r="B19" s="2" t="inlineStr">
        <is>
          <t xml:space="preserve">B13 · Molecular Basis of Inheritance</t>
        </is>
      </c>
      <c r="C19" s="4">
        <v>46342</v>
      </c>
      <c r="D19" s="4">
        <v>46343</v>
      </c>
      <c r="E19" s="4">
        <v>46345</v>
      </c>
      <c r="F19" s="4">
        <v>46349</v>
      </c>
      <c r="G19" s="4">
        <v>46356</v>
      </c>
      <c r="H19" s="7" t="inlineStr">
        <is>
          <t xml:space="preserve">Pending</t>
        </is>
      </c>
      <c r="I19" s="7" t="inlineStr">
        <is>
          <t xml:space="preserve">Pending</t>
        </is>
      </c>
      <c r="J19" s="7" t="inlineStr">
        <is>
          <t xml:space="preserve">Pending</t>
        </is>
      </c>
      <c r="K19" s="7" t="inlineStr">
        <is>
          <t xml:space="preserve">Pending</t>
        </is>
      </c>
    </row>
    <row r="20">
      <c r="A20" s="3" t="inlineStr">
        <is>
          <t xml:space="preserve">BIO110</t>
        </is>
      </c>
      <c r="B20" s="2" t="inlineStr">
        <is>
          <t xml:space="preserve">B14 · Gene Expression: Gene to Protein</t>
        </is>
      </c>
      <c r="C20" s="4">
        <v>46343</v>
      </c>
      <c r="D20" s="4">
        <v>46344</v>
      </c>
      <c r="E20" s="4">
        <v>46346</v>
      </c>
      <c r="F20" s="4">
        <v>46350</v>
      </c>
      <c r="G20" s="4">
        <v>46357</v>
      </c>
      <c r="H20" s="7" t="inlineStr">
        <is>
          <t xml:space="preserve">Pending</t>
        </is>
      </c>
      <c r="I20" s="7" t="inlineStr">
        <is>
          <t xml:space="preserve">Pending</t>
        </is>
      </c>
      <c r="J20" s="7" t="inlineStr">
        <is>
          <t xml:space="preserve">Pending</t>
        </is>
      </c>
      <c r="K20" s="7" t="inlineStr">
        <is>
          <t xml:space="preserve">Pending</t>
        </is>
      </c>
    </row>
    <row r="21">
      <c r="A21" s="3" t="inlineStr">
        <is>
          <t xml:space="preserve">BIO110</t>
        </is>
      </c>
      <c r="B21" s="2" t="inlineStr">
        <is>
          <t xml:space="preserve">B15 · Regulation of Gene Expression</t>
        </is>
      </c>
      <c r="C21" s="4">
        <v>46344</v>
      </c>
      <c r="D21" s="4">
        <v>46345</v>
      </c>
      <c r="E21" s="4">
        <v>46347</v>
      </c>
      <c r="F21" s="4">
        <v>46351</v>
      </c>
      <c r="G21" s="4">
        <v>46358</v>
      </c>
      <c r="H21" s="7" t="inlineStr">
        <is>
          <t xml:space="preserve">Pending</t>
        </is>
      </c>
      <c r="I21" s="7" t="inlineStr">
        <is>
          <t xml:space="preserve">Pending</t>
        </is>
      </c>
      <c r="J21" s="7" t="inlineStr">
        <is>
          <t xml:space="preserve">Pending</t>
        </is>
      </c>
      <c r="K21" s="7" t="inlineStr">
        <is>
          <t xml:space="preserve">Pending</t>
        </is>
      </c>
    </row>
    <row r="22">
      <c r="A22" s="3" t="inlineStr">
        <is>
          <t xml:space="preserve">BIO110</t>
        </is>
      </c>
      <c r="B22" s="2" t="inlineStr">
        <is>
          <t xml:space="preserve">B16 · DNA Tools and Biotechnology</t>
        </is>
      </c>
      <c r="C22" s="4">
        <v>46345</v>
      </c>
      <c r="D22" s="4">
        <v>46346</v>
      </c>
      <c r="E22" s="4">
        <v>46348</v>
      </c>
      <c r="F22" s="4">
        <v>46352</v>
      </c>
      <c r="G22" s="4">
        <v>46359</v>
      </c>
      <c r="H22" s="7" t="inlineStr">
        <is>
          <t xml:space="preserve">Pending</t>
        </is>
      </c>
      <c r="I22" s="7" t="inlineStr">
        <is>
          <t xml:space="preserve">Pending</t>
        </is>
      </c>
      <c r="J22" s="7" t="inlineStr">
        <is>
          <t xml:space="preserve">Pending</t>
        </is>
      </c>
      <c r="K22" s="7" t="inlineStr">
        <is>
          <t xml:space="preserve">Pending</t>
        </is>
      </c>
    </row>
    <row r="23">
      <c r="A23" s="3" t="inlineStr">
        <is>
          <t xml:space="preserve">BIO110</t>
        </is>
      </c>
      <c r="B23" s="2" t="inlineStr">
        <is>
          <t xml:space="preserve">B17 · Descent with Modification</t>
        </is>
      </c>
      <c r="C23" s="4">
        <v>46355</v>
      </c>
      <c r="D23" s="4">
        <v>46356</v>
      </c>
      <c r="E23" s="4">
        <v>46358</v>
      </c>
      <c r="F23" s="4">
        <v>46362</v>
      </c>
      <c r="G23" s="4">
        <v>46369</v>
      </c>
      <c r="H23" s="7" t="inlineStr">
        <is>
          <t xml:space="preserve">Pending</t>
        </is>
      </c>
      <c r="I23" s="7" t="inlineStr">
        <is>
          <t xml:space="preserve">Pending</t>
        </is>
      </c>
      <c r="J23" s="7" t="inlineStr">
        <is>
          <t xml:space="preserve">Pending</t>
        </is>
      </c>
      <c r="K23" s="7" t="inlineStr">
        <is>
          <t xml:space="preserve">Pending</t>
        </is>
      </c>
    </row>
    <row r="24">
      <c r="A24" s="3" t="inlineStr">
        <is>
          <t xml:space="preserve">BIO110</t>
        </is>
      </c>
      <c r="B24" s="2" t="inlineStr">
        <is>
          <t xml:space="preserve">B18 · The Evolution of Populations</t>
        </is>
      </c>
      <c r="C24" s="4">
        <v>46357</v>
      </c>
      <c r="D24" s="4">
        <v>46358</v>
      </c>
      <c r="E24" s="4">
        <v>46360</v>
      </c>
      <c r="F24" s="4">
        <v>46364</v>
      </c>
      <c r="G24" s="4">
        <v>46371</v>
      </c>
      <c r="H24" s="7" t="inlineStr">
        <is>
          <t xml:space="preserve">Pending</t>
        </is>
      </c>
      <c r="I24" s="7" t="inlineStr">
        <is>
          <t xml:space="preserve">Pending</t>
        </is>
      </c>
      <c r="J24" s="7" t="inlineStr">
        <is>
          <t xml:space="preserve">Pending</t>
        </is>
      </c>
      <c r="K24" s="7" t="inlineStr">
        <is>
          <t xml:space="preserve">Pending</t>
        </is>
      </c>
    </row>
    <row r="25">
      <c r="A25" s="3" t="inlineStr">
        <is>
          <t xml:space="preserve">CMPE371</t>
        </is>
      </c>
      <c r="B25" s="2" t="inlineStr">
        <is>
          <t xml:space="preserve">S0a · Önkoşul: karmaşık sayılar ve Euler</t>
        </is>
      </c>
      <c r="C25" s="4">
        <v>46325</v>
      </c>
      <c r="D25" s="4">
        <v>46326</v>
      </c>
      <c r="E25" s="4">
        <v>46328</v>
      </c>
      <c r="F25" s="4">
        <v>46332</v>
      </c>
      <c r="G25" s="4">
        <v>46339</v>
      </c>
      <c r="H25" s="7" t="inlineStr">
        <is>
          <t xml:space="preserve">Pending</t>
        </is>
      </c>
      <c r="I25" s="7" t="inlineStr">
        <is>
          <t xml:space="preserve">Pending</t>
        </is>
      </c>
      <c r="J25" s="7" t="inlineStr">
        <is>
          <t xml:space="preserve">Pending</t>
        </is>
      </c>
      <c r="K25" s="7" t="inlineStr">
        <is>
          <t xml:space="preserve">Pending</t>
        </is>
      </c>
    </row>
    <row r="26">
      <c r="A26" s="3" t="inlineStr">
        <is>
          <t xml:space="preserve">CMPE371</t>
        </is>
      </c>
      <c r="B26" s="2" t="inlineStr">
        <is>
          <t xml:space="preserve">S0b · Önkoşul: trigonometri, üstel, türev/integral</t>
        </is>
      </c>
      <c r="C26" s="4">
        <v>46326</v>
      </c>
      <c r="D26" s="4">
        <v>46327</v>
      </c>
      <c r="E26" s="4">
        <v>46329</v>
      </c>
      <c r="F26" s="4">
        <v>46333</v>
      </c>
      <c r="G26" s="4">
        <v>46340</v>
      </c>
      <c r="H26" s="7" t="inlineStr">
        <is>
          <t xml:space="preserve">Pending</t>
        </is>
      </c>
      <c r="I26" s="7" t="inlineStr">
        <is>
          <t xml:space="preserve">Pending</t>
        </is>
      </c>
      <c r="J26" s="7" t="inlineStr">
        <is>
          <t xml:space="preserve">Pending</t>
        </is>
      </c>
      <c r="K26" s="7" t="inlineStr">
        <is>
          <t xml:space="preserve">Pending</t>
        </is>
      </c>
    </row>
    <row r="27">
      <c r="A27" s="3" t="inlineStr">
        <is>
          <t xml:space="preserve">CMPE371</t>
        </is>
      </c>
      <c r="B27" s="2" t="inlineStr">
        <is>
          <t xml:space="preserve">S1 · Introduction to Signals and Systems</t>
        </is>
      </c>
      <c r="C27" s="4">
        <v>46327</v>
      </c>
      <c r="D27" s="4">
        <v>46328</v>
      </c>
      <c r="E27" s="4">
        <v>46330</v>
      </c>
      <c r="F27" s="4">
        <v>46334</v>
      </c>
      <c r="G27" s="4">
        <v>46341</v>
      </c>
      <c r="H27" s="7" t="inlineStr">
        <is>
          <t xml:space="preserve">Pending</t>
        </is>
      </c>
      <c r="I27" s="7" t="inlineStr">
        <is>
          <t xml:space="preserve">Pending</t>
        </is>
      </c>
      <c r="J27" s="7" t="inlineStr">
        <is>
          <t xml:space="preserve">Pending</t>
        </is>
      </c>
      <c r="K27" s="7" t="inlineStr">
        <is>
          <t xml:space="preserve">Pending</t>
        </is>
      </c>
    </row>
    <row r="28">
      <c r="A28" s="3" t="inlineStr">
        <is>
          <t xml:space="preserve">CMPE371</t>
        </is>
      </c>
      <c r="B28" s="2" t="inlineStr">
        <is>
          <t xml:space="preserve">S2 · Sinusoids</t>
        </is>
      </c>
      <c r="C28" s="4">
        <v>46328</v>
      </c>
      <c r="D28" s="4">
        <v>46329</v>
      </c>
      <c r="E28" s="4">
        <v>46331</v>
      </c>
      <c r="F28" s="4">
        <v>46335</v>
      </c>
      <c r="G28" s="4">
        <v>46342</v>
      </c>
      <c r="H28" s="7" t="inlineStr">
        <is>
          <t xml:space="preserve">Pending</t>
        </is>
      </c>
      <c r="I28" s="7" t="inlineStr">
        <is>
          <t xml:space="preserve">Pending</t>
        </is>
      </c>
      <c r="J28" s="7" t="inlineStr">
        <is>
          <t xml:space="preserve">Pending</t>
        </is>
      </c>
      <c r="K28" s="7" t="inlineStr">
        <is>
          <t xml:space="preserve">Pending</t>
        </is>
      </c>
    </row>
    <row r="29">
      <c r="A29" s="3" t="inlineStr">
        <is>
          <t xml:space="preserve">CMPE371</t>
        </is>
      </c>
      <c r="B29" s="2" t="inlineStr">
        <is>
          <t xml:space="preserve">S3 · Special signals</t>
        </is>
      </c>
      <c r="C29" s="4">
        <v>46329</v>
      </c>
      <c r="D29" s="4">
        <v>46330</v>
      </c>
      <c r="E29" s="4">
        <v>46332</v>
      </c>
      <c r="F29" s="4">
        <v>46336</v>
      </c>
      <c r="G29" s="4">
        <v>46343</v>
      </c>
      <c r="H29" s="7" t="inlineStr">
        <is>
          <t xml:space="preserve">Pending</t>
        </is>
      </c>
      <c r="I29" s="7" t="inlineStr">
        <is>
          <t xml:space="preserve">Pending</t>
        </is>
      </c>
      <c r="J29" s="7" t="inlineStr">
        <is>
          <t xml:space="preserve">Pending</t>
        </is>
      </c>
      <c r="K29" s="7" t="inlineStr">
        <is>
          <t xml:space="preserve">Pending</t>
        </is>
      </c>
    </row>
    <row r="30">
      <c r="A30" s="3" t="inlineStr">
        <is>
          <t xml:space="preserve">CMPE371</t>
        </is>
      </c>
      <c r="B30" s="2" t="inlineStr">
        <is>
          <t xml:space="preserve">S3b · System properties</t>
        </is>
      </c>
      <c r="C30" s="4">
        <v>46330</v>
      </c>
      <c r="D30" s="4">
        <v>46331</v>
      </c>
      <c r="E30" s="4">
        <v>46333</v>
      </c>
      <c r="F30" s="4">
        <v>46337</v>
      </c>
      <c r="G30" s="4">
        <v>46344</v>
      </c>
      <c r="H30" s="7" t="inlineStr">
        <is>
          <t xml:space="preserve">Pending</t>
        </is>
      </c>
      <c r="I30" s="7" t="inlineStr">
        <is>
          <t xml:space="preserve">Pending</t>
        </is>
      </c>
      <c r="J30" s="7" t="inlineStr">
        <is>
          <t xml:space="preserve">Pending</t>
        </is>
      </c>
      <c r="K30" s="7" t="inlineStr">
        <is>
          <t xml:space="preserve">Pending</t>
        </is>
      </c>
    </row>
    <row r="31">
      <c r="A31" s="3" t="inlineStr">
        <is>
          <t xml:space="preserve">CMPE371</t>
        </is>
      </c>
      <c r="B31" s="2" t="inlineStr">
        <is>
          <t xml:space="preserve">S4a · LTI I: ayrık konvolüsyon</t>
        </is>
      </c>
      <c r="C31" s="4">
        <v>46331</v>
      </c>
      <c r="D31" s="4">
        <v>46332</v>
      </c>
      <c r="E31" s="4">
        <v>46334</v>
      </c>
      <c r="F31" s="4">
        <v>46338</v>
      </c>
      <c r="G31" s="4">
        <v>46345</v>
      </c>
      <c r="H31" s="7" t="inlineStr">
        <is>
          <t xml:space="preserve">Pending</t>
        </is>
      </c>
      <c r="I31" s="7" t="inlineStr">
        <is>
          <t xml:space="preserve">Pending</t>
        </is>
      </c>
      <c r="J31" s="7" t="inlineStr">
        <is>
          <t xml:space="preserve">Pending</t>
        </is>
      </c>
      <c r="K31" s="7" t="inlineStr">
        <is>
          <t xml:space="preserve">Pending</t>
        </is>
      </c>
    </row>
    <row r="32">
      <c r="A32" s="3" t="inlineStr">
        <is>
          <t xml:space="preserve">CMPE371</t>
        </is>
      </c>
      <c r="B32" s="2" t="inlineStr">
        <is>
          <t xml:space="preserve">S4b · LTI II: sürekli konvolüsyon</t>
        </is>
      </c>
      <c r="C32" s="4">
        <v>46331</v>
      </c>
      <c r="D32" s="4">
        <v>46332</v>
      </c>
      <c r="E32" s="4">
        <v>46334</v>
      </c>
      <c r="F32" s="4">
        <v>46338</v>
      </c>
      <c r="G32" s="4">
        <v>46345</v>
      </c>
      <c r="H32" s="7" t="inlineStr">
        <is>
          <t xml:space="preserve">Pending</t>
        </is>
      </c>
      <c r="I32" s="7" t="inlineStr">
        <is>
          <t xml:space="preserve">Pending</t>
        </is>
      </c>
      <c r="J32" s="7" t="inlineStr">
        <is>
          <t xml:space="preserve">Pending</t>
        </is>
      </c>
      <c r="K32" s="7" t="inlineStr">
        <is>
          <t xml:space="preserve">Pending</t>
        </is>
      </c>
    </row>
    <row r="33">
      <c r="A33" s="3" t="inlineStr">
        <is>
          <t xml:space="preserve">CMPE371</t>
        </is>
      </c>
      <c r="B33" s="2" t="inlineStr">
        <is>
          <t xml:space="preserve">S4c · LTI III: özellikler</t>
        </is>
      </c>
      <c r="C33" s="4">
        <v>46332</v>
      </c>
      <c r="D33" s="4">
        <v>46333</v>
      </c>
      <c r="E33" s="4">
        <v>46335</v>
      </c>
      <c r="F33" s="4">
        <v>46339</v>
      </c>
      <c r="G33" s="4">
        <v>46346</v>
      </c>
      <c r="H33" s="7" t="inlineStr">
        <is>
          <t xml:space="preserve">Pending</t>
        </is>
      </c>
      <c r="I33" s="7" t="inlineStr">
        <is>
          <t xml:space="preserve">Pending</t>
        </is>
      </c>
      <c r="J33" s="7" t="inlineStr">
        <is>
          <t xml:space="preserve">Pending</t>
        </is>
      </c>
      <c r="K33" s="7" t="inlineStr">
        <is>
          <t xml:space="preserve">Pending</t>
        </is>
      </c>
    </row>
    <row r="34">
      <c r="A34" s="3" t="inlineStr">
        <is>
          <t xml:space="preserve">CMPE371</t>
        </is>
      </c>
      <c r="B34" s="2" t="inlineStr">
        <is>
          <t xml:space="preserve">S5 · Differential and difference equations</t>
        </is>
      </c>
      <c r="C34" s="4">
        <v>46333</v>
      </c>
      <c r="D34" s="4">
        <v>46334</v>
      </c>
      <c r="E34" s="4">
        <v>46336</v>
      </c>
      <c r="F34" s="4">
        <v>46340</v>
      </c>
      <c r="G34" s="4">
        <v>46347</v>
      </c>
      <c r="H34" s="7" t="inlineStr">
        <is>
          <t xml:space="preserve">Pending</t>
        </is>
      </c>
      <c r="I34" s="7" t="inlineStr">
        <is>
          <t xml:space="preserve">Pending</t>
        </is>
      </c>
      <c r="J34" s="7" t="inlineStr">
        <is>
          <t xml:space="preserve">Pending</t>
        </is>
      </c>
      <c r="K34" s="7" t="inlineStr">
        <is>
          <t xml:space="preserve">Pending</t>
        </is>
      </c>
    </row>
    <row r="35">
      <c r="A35" s="3" t="inlineStr">
        <is>
          <t xml:space="preserve">CMPE371</t>
        </is>
      </c>
      <c r="B35" s="2" t="inlineStr">
        <is>
          <t xml:space="preserve">S6 · CTFS</t>
        </is>
      </c>
      <c r="C35" s="4">
        <v>46334</v>
      </c>
      <c r="D35" s="4">
        <v>46335</v>
      </c>
      <c r="E35" s="4">
        <v>46337</v>
      </c>
      <c r="F35" s="4">
        <v>46341</v>
      </c>
      <c r="G35" s="4">
        <v>46348</v>
      </c>
      <c r="H35" s="7" t="inlineStr">
        <is>
          <t xml:space="preserve">Pending</t>
        </is>
      </c>
      <c r="I35" s="7" t="inlineStr">
        <is>
          <t xml:space="preserve">Pending</t>
        </is>
      </c>
      <c r="J35" s="7" t="inlineStr">
        <is>
          <t xml:space="preserve">Pending</t>
        </is>
      </c>
      <c r="K35" s="7" t="inlineStr">
        <is>
          <t xml:space="preserve">Pending</t>
        </is>
      </c>
    </row>
    <row r="36">
      <c r="A36" s="3" t="inlineStr">
        <is>
          <t xml:space="preserve">CMPE371</t>
        </is>
      </c>
      <c r="B36" s="2" t="inlineStr">
        <is>
          <t xml:space="preserve">S7 · CTFT</t>
        </is>
      </c>
      <c r="C36" s="4">
        <v>46341</v>
      </c>
      <c r="D36" s="4">
        <v>46342</v>
      </c>
      <c r="E36" s="4">
        <v>46344</v>
      </c>
      <c r="F36" s="4">
        <v>46348</v>
      </c>
      <c r="G36" s="4">
        <v>46355</v>
      </c>
      <c r="H36" s="7" t="inlineStr">
        <is>
          <t xml:space="preserve">Pending</t>
        </is>
      </c>
      <c r="I36" s="7" t="inlineStr">
        <is>
          <t xml:space="preserve">Pending</t>
        </is>
      </c>
      <c r="J36" s="7" t="inlineStr">
        <is>
          <t xml:space="preserve">Pending</t>
        </is>
      </c>
      <c r="K36" s="7" t="inlineStr">
        <is>
          <t xml:space="preserve">Pending</t>
        </is>
      </c>
    </row>
    <row r="37">
      <c r="A37" s="3" t="inlineStr">
        <is>
          <t xml:space="preserve">CMPE371</t>
        </is>
      </c>
      <c r="B37" s="2" t="inlineStr">
        <is>
          <t xml:space="preserve">S9 · DTFS</t>
        </is>
      </c>
      <c r="C37" s="4">
        <v>46354</v>
      </c>
      <c r="D37" s="4">
        <v>46355</v>
      </c>
      <c r="E37" s="4">
        <v>46357</v>
      </c>
      <c r="F37" s="4">
        <v>46361</v>
      </c>
      <c r="G37" s="4">
        <v>46368</v>
      </c>
      <c r="H37" s="7" t="inlineStr">
        <is>
          <t xml:space="preserve">Pending</t>
        </is>
      </c>
      <c r="I37" s="7" t="inlineStr">
        <is>
          <t xml:space="preserve">Pending</t>
        </is>
      </c>
      <c r="J37" s="7" t="inlineStr">
        <is>
          <t xml:space="preserve">Pending</t>
        </is>
      </c>
      <c r="K37" s="7" t="inlineStr">
        <is>
          <t xml:space="preserve">Pending</t>
        </is>
      </c>
    </row>
    <row r="38">
      <c r="A38" s="3" t="inlineStr">
        <is>
          <t xml:space="preserve">CMPE371</t>
        </is>
      </c>
      <c r="B38" s="2" t="inlineStr">
        <is>
          <t xml:space="preserve">S10 · DTFT</t>
        </is>
      </c>
      <c r="C38" s="4">
        <v>46355</v>
      </c>
      <c r="D38" s="4">
        <v>46356</v>
      </c>
      <c r="E38" s="4">
        <v>46358</v>
      </c>
      <c r="F38" s="4">
        <v>46362</v>
      </c>
      <c r="G38" s="4">
        <v>46369</v>
      </c>
      <c r="H38" s="7" t="inlineStr">
        <is>
          <t xml:space="preserve">Pending</t>
        </is>
      </c>
      <c r="I38" s="7" t="inlineStr">
        <is>
          <t xml:space="preserve">Pending</t>
        </is>
      </c>
      <c r="J38" s="7" t="inlineStr">
        <is>
          <t xml:space="preserve">Pending</t>
        </is>
      </c>
      <c r="K38" s="7" t="inlineStr">
        <is>
          <t xml:space="preserve">Pending</t>
        </is>
      </c>
    </row>
    <row r="39">
      <c r="A39" s="3" t="inlineStr">
        <is>
          <t xml:space="preserve">CMPE371</t>
        </is>
      </c>
      <c r="B39" s="2" t="inlineStr">
        <is>
          <t xml:space="preserve">S11 · Filtering</t>
        </is>
      </c>
      <c r="C39" s="4">
        <v>46362</v>
      </c>
      <c r="D39" s="4">
        <v>46363</v>
      </c>
      <c r="E39" s="4">
        <v>46365</v>
      </c>
      <c r="F39" s="4">
        <v>46369</v>
      </c>
      <c r="G39" s="4">
        <v>46376</v>
      </c>
      <c r="H39" s="7" t="inlineStr">
        <is>
          <t xml:space="preserve">Pending</t>
        </is>
      </c>
      <c r="I39" s="7" t="inlineStr">
        <is>
          <t xml:space="preserve">Pending</t>
        </is>
      </c>
      <c r="J39" s="7" t="inlineStr">
        <is>
          <t xml:space="preserve">Pending</t>
        </is>
      </c>
      <c r="K39" s="7" t="inlineStr">
        <is>
          <t xml:space="preserve">Pending</t>
        </is>
      </c>
    </row>
    <row r="40">
      <c r="A40" s="3" t="inlineStr">
        <is>
          <t xml:space="preserve">CMPE371</t>
        </is>
      </c>
      <c r="B40" s="2" t="inlineStr">
        <is>
          <t xml:space="preserve">S12 · Sampling</t>
        </is>
      </c>
      <c r="C40" s="4">
        <v>46367</v>
      </c>
      <c r="D40" s="4">
        <v>46368</v>
      </c>
      <c r="E40" s="4">
        <v>46370</v>
      </c>
      <c r="F40" s="4">
        <v>46374</v>
      </c>
      <c r="G40" s="4">
        <v>46381</v>
      </c>
      <c r="H40" s="7" t="inlineStr">
        <is>
          <t xml:space="preserve">Pending</t>
        </is>
      </c>
      <c r="I40" s="7" t="inlineStr">
        <is>
          <t xml:space="preserve">Pending</t>
        </is>
      </c>
      <c r="J40" s="7" t="inlineStr">
        <is>
          <t xml:space="preserve">Pending</t>
        </is>
      </c>
      <c r="K40" s="7" t="inlineStr">
        <is>
          <t xml:space="preserve">Pending</t>
        </is>
      </c>
    </row>
    <row r="41">
      <c r="A41" s="3" t="inlineStr">
        <is>
          <t xml:space="preserve">CMPE371</t>
        </is>
      </c>
      <c r="B41" s="2" t="inlineStr">
        <is>
          <t xml:space="preserve">S13 · Z-Transform</t>
        </is>
      </c>
      <c r="C41" s="4">
        <v>46369</v>
      </c>
      <c r="D41" s="4">
        <v>46370</v>
      </c>
      <c r="E41" s="4">
        <v>46372</v>
      </c>
      <c r="F41" s="4">
        <v>46376</v>
      </c>
      <c r="G41" s="4">
        <v>46383</v>
      </c>
      <c r="H41" s="7" t="inlineStr">
        <is>
          <t xml:space="preserve">Pending</t>
        </is>
      </c>
      <c r="I41" s="7" t="inlineStr">
        <is>
          <t xml:space="preserve">Pending</t>
        </is>
      </c>
      <c r="J41" s="7" t="inlineStr">
        <is>
          <t xml:space="preserve">Pending</t>
        </is>
      </c>
      <c r="K41" s="7" t="inlineStr">
        <is>
          <t xml:space="preserve">Pending</t>
        </is>
      </c>
    </row>
    <row r="42">
      <c r="A42" s="3" t="inlineStr">
        <is>
          <t xml:space="preserve">CMPE327</t>
        </is>
      </c>
      <c r="B42" s="2" t="inlineStr">
        <is>
          <t xml:space="preserve">A1 · Central concepts + mathematical preliminaries</t>
        </is>
      </c>
      <c r="C42" s="4">
        <v>46325</v>
      </c>
      <c r="D42" s="4">
        <v>46326</v>
      </c>
      <c r="E42" s="4">
        <v>46328</v>
      </c>
      <c r="F42" s="4">
        <v>46332</v>
      </c>
      <c r="G42" s="4">
        <v>46339</v>
      </c>
      <c r="H42" s="7" t="inlineStr">
        <is>
          <t xml:space="preserve">Pending</t>
        </is>
      </c>
      <c r="I42" s="7" t="inlineStr">
        <is>
          <t xml:space="preserve">Pending</t>
        </is>
      </c>
      <c r="J42" s="7" t="inlineStr">
        <is>
          <t xml:space="preserve">Pending</t>
        </is>
      </c>
      <c r="K42" s="7" t="inlineStr">
        <is>
          <t xml:space="preserve">Pending</t>
        </is>
      </c>
    </row>
    <row r="43">
      <c r="A43" s="3" t="inlineStr">
        <is>
          <t xml:space="preserve">CMPE327</t>
        </is>
      </c>
      <c r="B43" s="2" t="inlineStr">
        <is>
          <t xml:space="preserve">A2 · DFA</t>
        </is>
      </c>
      <c r="C43" s="4">
        <v>46326</v>
      </c>
      <c r="D43" s="4">
        <v>46327</v>
      </c>
      <c r="E43" s="4">
        <v>46329</v>
      </c>
      <c r="F43" s="4">
        <v>46333</v>
      </c>
      <c r="G43" s="4">
        <v>46340</v>
      </c>
      <c r="H43" s="7" t="inlineStr">
        <is>
          <t xml:space="preserve">Pending</t>
        </is>
      </c>
      <c r="I43" s="7" t="inlineStr">
        <is>
          <t xml:space="preserve">Pending</t>
        </is>
      </c>
      <c r="J43" s="7" t="inlineStr">
        <is>
          <t xml:space="preserve">Pending</t>
        </is>
      </c>
      <c r="K43" s="7" t="inlineStr">
        <is>
          <t xml:space="preserve">Pending</t>
        </is>
      </c>
    </row>
    <row r="44">
      <c r="A44" s="3" t="inlineStr">
        <is>
          <t xml:space="preserve">CMPE327</t>
        </is>
      </c>
      <c r="B44" s="2" t="inlineStr">
        <is>
          <t xml:space="preserve">A4 · NFA ve ε-NFA</t>
        </is>
      </c>
      <c r="C44" s="4">
        <v>46330</v>
      </c>
      <c r="D44" s="4">
        <v>46331</v>
      </c>
      <c r="E44" s="4">
        <v>46333</v>
      </c>
      <c r="F44" s="4">
        <v>46337</v>
      </c>
      <c r="G44" s="4">
        <v>46344</v>
      </c>
      <c r="H44" s="7" t="inlineStr">
        <is>
          <t xml:space="preserve">Pending</t>
        </is>
      </c>
      <c r="I44" s="7" t="inlineStr">
        <is>
          <t xml:space="preserve">Pending</t>
        </is>
      </c>
      <c r="J44" s="7" t="inlineStr">
        <is>
          <t xml:space="preserve">Pending</t>
        </is>
      </c>
      <c r="K44" s="7" t="inlineStr">
        <is>
          <t xml:space="preserve">Pending</t>
        </is>
      </c>
    </row>
    <row r="45">
      <c r="A45" s="3" t="inlineStr">
        <is>
          <t xml:space="preserve">CMPE327</t>
        </is>
      </c>
      <c r="B45" s="2" t="inlineStr">
        <is>
          <t xml:space="preserve">A5 · DFA ≡ NFA (altküme yapısı)</t>
        </is>
      </c>
      <c r="C45" s="4">
        <v>46331</v>
      </c>
      <c r="D45" s="4">
        <v>46332</v>
      </c>
      <c r="E45" s="4">
        <v>46334</v>
      </c>
      <c r="F45" s="4">
        <v>46338</v>
      </c>
      <c r="G45" s="4">
        <v>46345</v>
      </c>
      <c r="H45" s="7" t="inlineStr">
        <is>
          <t xml:space="preserve">Pending</t>
        </is>
      </c>
      <c r="I45" s="7" t="inlineStr">
        <is>
          <t xml:space="preserve">Pending</t>
        </is>
      </c>
      <c r="J45" s="7" t="inlineStr">
        <is>
          <t xml:space="preserve">Pending</t>
        </is>
      </c>
      <c r="K45" s="7" t="inlineStr">
        <is>
          <t xml:space="preserve">Pending</t>
        </is>
      </c>
    </row>
    <row r="46">
      <c r="A46" s="3" t="inlineStr">
        <is>
          <t xml:space="preserve">CMPE327</t>
        </is>
      </c>
      <c r="B46" s="2" t="inlineStr">
        <is>
          <t xml:space="preserve">A6 · Closure properties</t>
        </is>
      </c>
      <c r="C46" s="4">
        <v>46332</v>
      </c>
      <c r="D46" s="4">
        <v>46333</v>
      </c>
      <c r="E46" s="4">
        <v>46335</v>
      </c>
      <c r="F46" s="4">
        <v>46339</v>
      </c>
      <c r="G46" s="4">
        <v>46346</v>
      </c>
      <c r="H46" s="7" t="inlineStr">
        <is>
          <t xml:space="preserve">Pending</t>
        </is>
      </c>
      <c r="I46" s="7" t="inlineStr">
        <is>
          <t xml:space="preserve">Pending</t>
        </is>
      </c>
      <c r="J46" s="7" t="inlineStr">
        <is>
          <t xml:space="preserve">Pending</t>
        </is>
      </c>
      <c r="K46" s="7" t="inlineStr">
        <is>
          <t xml:space="preserve">Pending</t>
        </is>
      </c>
    </row>
    <row r="47">
      <c r="A47" s="3" t="inlineStr">
        <is>
          <t xml:space="preserve">CMPE327</t>
        </is>
      </c>
      <c r="B47" s="2" t="inlineStr">
        <is>
          <t xml:space="preserve">A7 · Regular expressions</t>
        </is>
      </c>
      <c r="C47" s="4">
        <v>46333</v>
      </c>
      <c r="D47" s="4">
        <v>46334</v>
      </c>
      <c r="E47" s="4">
        <v>46336</v>
      </c>
      <c r="F47" s="4">
        <v>46340</v>
      </c>
      <c r="G47" s="4">
        <v>46347</v>
      </c>
      <c r="H47" s="7" t="inlineStr">
        <is>
          <t xml:space="preserve">Pending</t>
        </is>
      </c>
      <c r="I47" s="7" t="inlineStr">
        <is>
          <t xml:space="preserve">Pending</t>
        </is>
      </c>
      <c r="J47" s="7" t="inlineStr">
        <is>
          <t xml:space="preserve">Pending</t>
        </is>
      </c>
      <c r="K47" s="7" t="inlineStr">
        <is>
          <t xml:space="preserve">Pending</t>
        </is>
      </c>
    </row>
    <row r="48">
      <c r="A48" s="3" t="inlineStr">
        <is>
          <t xml:space="preserve">CMPE327</t>
        </is>
      </c>
      <c r="B48" s="2" t="inlineStr">
        <is>
          <t xml:space="preserve">A8 · DFA state minimization</t>
        </is>
      </c>
      <c r="C48" s="4">
        <v>46334</v>
      </c>
      <c r="D48" s="4">
        <v>46335</v>
      </c>
      <c r="E48" s="4">
        <v>46337</v>
      </c>
      <c r="F48" s="4">
        <v>46341</v>
      </c>
      <c r="G48" s="4">
        <v>46348</v>
      </c>
      <c r="H48" s="7" t="inlineStr">
        <is>
          <t xml:space="preserve">Pending</t>
        </is>
      </c>
      <c r="I48" s="7" t="inlineStr">
        <is>
          <t xml:space="preserve">Pending</t>
        </is>
      </c>
      <c r="J48" s="7" t="inlineStr">
        <is>
          <t xml:space="preserve">Pending</t>
        </is>
      </c>
      <c r="K48" s="7" t="inlineStr">
        <is>
          <t xml:space="preserve">Pending</t>
        </is>
      </c>
    </row>
    <row r="49">
      <c r="A49" s="3" t="inlineStr">
        <is>
          <t xml:space="preserve">CMPE327</t>
        </is>
      </c>
      <c r="B49" s="2" t="inlineStr">
        <is>
          <t xml:space="preserve">A9 · Myhill–Nerode</t>
        </is>
      </c>
      <c r="C49" s="4">
        <v>46335</v>
      </c>
      <c r="D49" s="4">
        <v>46336</v>
      </c>
      <c r="E49" s="4">
        <v>46338</v>
      </c>
      <c r="F49" s="4">
        <v>46342</v>
      </c>
      <c r="G49" s="4">
        <v>46349</v>
      </c>
      <c r="H49" s="7" t="inlineStr">
        <is>
          <t xml:space="preserve">Pending</t>
        </is>
      </c>
      <c r="I49" s="7" t="inlineStr">
        <is>
          <t xml:space="preserve">Pending</t>
        </is>
      </c>
      <c r="J49" s="7" t="inlineStr">
        <is>
          <t xml:space="preserve">Pending</t>
        </is>
      </c>
      <c r="K49" s="7" t="inlineStr">
        <is>
          <t xml:space="preserve">Pending</t>
        </is>
      </c>
    </row>
    <row r="50">
      <c r="A50" s="3" t="inlineStr">
        <is>
          <t xml:space="preserve">CMPE327</t>
        </is>
      </c>
      <c r="B50" s="2" t="inlineStr">
        <is>
          <t xml:space="preserve">A10 · Derivatives + regex denkliği</t>
        </is>
      </c>
      <c r="C50" s="4">
        <v>46336</v>
      </c>
      <c r="D50" s="4">
        <v>46337</v>
      </c>
      <c r="E50" s="4">
        <v>46339</v>
      </c>
      <c r="F50" s="4">
        <v>46343</v>
      </c>
      <c r="G50" s="4">
        <v>46350</v>
      </c>
      <c r="H50" s="7" t="inlineStr">
        <is>
          <t xml:space="preserve">Pending</t>
        </is>
      </c>
      <c r="I50" s="7" t="inlineStr">
        <is>
          <t xml:space="preserve">Pending</t>
        </is>
      </c>
      <c r="J50" s="7" t="inlineStr">
        <is>
          <t xml:space="preserve">Pending</t>
        </is>
      </c>
      <c r="K50" s="7" t="inlineStr">
        <is>
          <t xml:space="preserve">Pending</t>
        </is>
      </c>
    </row>
    <row r="51">
      <c r="A51" s="3" t="inlineStr">
        <is>
          <t xml:space="preserve">CMPE327</t>
        </is>
      </c>
      <c r="B51" s="2" t="inlineStr">
        <is>
          <t xml:space="preserve">A11 · Context-free grammars</t>
        </is>
      </c>
      <c r="C51" s="4">
        <v>46337</v>
      </c>
      <c r="D51" s="4">
        <v>46338</v>
      </c>
      <c r="E51" s="4">
        <v>46340</v>
      </c>
      <c r="F51" s="4">
        <v>46344</v>
      </c>
      <c r="G51" s="4">
        <v>46351</v>
      </c>
      <c r="H51" s="7" t="inlineStr">
        <is>
          <t xml:space="preserve">Pending</t>
        </is>
      </c>
      <c r="I51" s="7" t="inlineStr">
        <is>
          <t xml:space="preserve">Pending</t>
        </is>
      </c>
      <c r="J51" s="7" t="inlineStr">
        <is>
          <t xml:space="preserve">Pending</t>
        </is>
      </c>
      <c r="K51" s="7" t="inlineStr">
        <is>
          <t xml:space="preserve">Pending</t>
        </is>
      </c>
    </row>
    <row r="52">
      <c r="A52" s="3" t="inlineStr">
        <is>
          <t xml:space="preserve">CMPE327</t>
        </is>
      </c>
      <c r="B52" s="2" t="inlineStr">
        <is>
          <t xml:space="preserve">A12 · Ambiguity + DFA eşdeğerlik kontrolü</t>
        </is>
      </c>
      <c r="C52" s="4">
        <v>46338</v>
      </c>
      <c r="D52" s="4">
        <v>46339</v>
      </c>
      <c r="E52" s="4">
        <v>46341</v>
      </c>
      <c r="F52" s="4">
        <v>46345</v>
      </c>
      <c r="G52" s="4">
        <v>46352</v>
      </c>
      <c r="H52" s="7" t="inlineStr">
        <is>
          <t xml:space="preserve">Pending</t>
        </is>
      </c>
      <c r="I52" s="7" t="inlineStr">
        <is>
          <t xml:space="preserve">Pending</t>
        </is>
      </c>
      <c r="J52" s="7" t="inlineStr">
        <is>
          <t xml:space="preserve">Pending</t>
        </is>
      </c>
      <c r="K52" s="7" t="inlineStr">
        <is>
          <t xml:space="preserve">Pending</t>
        </is>
      </c>
    </row>
    <row r="53">
      <c r="A53" s="3" t="inlineStr">
        <is>
          <t xml:space="preserve">CMPE327</t>
        </is>
      </c>
      <c r="B53" s="2" t="inlineStr">
        <is>
          <t xml:space="preserve">A14 · Chomsky Normal Form</t>
        </is>
      </c>
      <c r="C53" s="4">
        <v>46354</v>
      </c>
      <c r="D53" s="4">
        <v>46355</v>
      </c>
      <c r="E53" s="4">
        <v>46357</v>
      </c>
      <c r="F53" s="4">
        <v>46361</v>
      </c>
      <c r="G53" s="4">
        <v>46368</v>
      </c>
      <c r="H53" s="7" t="inlineStr">
        <is>
          <t xml:space="preserve">Pending</t>
        </is>
      </c>
      <c r="I53" s="7" t="inlineStr">
        <is>
          <t xml:space="preserve">Pending</t>
        </is>
      </c>
      <c r="J53" s="7" t="inlineStr">
        <is>
          <t xml:space="preserve">Pending</t>
        </is>
      </c>
      <c r="K53" s="7" t="inlineStr">
        <is>
          <t xml:space="preserve">Pending</t>
        </is>
      </c>
    </row>
    <row r="54">
      <c r="A54" s="3" t="inlineStr">
        <is>
          <t xml:space="preserve">CMPE327</t>
        </is>
      </c>
      <c r="B54" s="2" t="inlineStr">
        <is>
          <t xml:space="preserve">A15 · CYK algoritması</t>
        </is>
      </c>
      <c r="C54" s="4">
        <v>46355</v>
      </c>
      <c r="D54" s="4">
        <v>46356</v>
      </c>
      <c r="E54" s="4">
        <v>46358</v>
      </c>
      <c r="F54" s="4">
        <v>46362</v>
      </c>
      <c r="G54" s="4">
        <v>46369</v>
      </c>
      <c r="H54" s="7" t="inlineStr">
        <is>
          <t xml:space="preserve">Pending</t>
        </is>
      </c>
      <c r="I54" s="7" t="inlineStr">
        <is>
          <t xml:space="preserve">Pending</t>
        </is>
      </c>
      <c r="J54" s="7" t="inlineStr">
        <is>
          <t xml:space="preserve">Pending</t>
        </is>
      </c>
      <c r="K54" s="7" t="inlineStr">
        <is>
          <t xml:space="preserve">Pending</t>
        </is>
      </c>
    </row>
    <row r="55">
      <c r="A55" s="3" t="inlineStr">
        <is>
          <t xml:space="preserve">CMPE327</t>
        </is>
      </c>
      <c r="B55" s="2" t="inlineStr">
        <is>
          <t xml:space="preserve">A16 · Pumping lemma + non-regularity</t>
        </is>
      </c>
      <c r="C55" s="4">
        <v>46357</v>
      </c>
      <c r="D55" s="4">
        <v>46358</v>
      </c>
      <c r="E55" s="4">
        <v>46360</v>
      </c>
      <c r="F55" s="4">
        <v>46364</v>
      </c>
      <c r="G55" s="4">
        <v>46371</v>
      </c>
      <c r="H55" s="7" t="inlineStr">
        <is>
          <t xml:space="preserve">Pending</t>
        </is>
      </c>
      <c r="I55" s="7" t="inlineStr">
        <is>
          <t xml:space="preserve">Pending</t>
        </is>
      </c>
      <c r="J55" s="7" t="inlineStr">
        <is>
          <t xml:space="preserve">Pending</t>
        </is>
      </c>
      <c r="K55" s="7" t="inlineStr">
        <is>
          <t xml:space="preserve">Pending</t>
        </is>
      </c>
    </row>
    <row r="56">
      <c r="A56" s="3" t="inlineStr">
        <is>
          <t xml:space="preserve">CMPE327</t>
        </is>
      </c>
      <c r="B56" s="2" t="inlineStr">
        <is>
          <t xml:space="preserve">A17 · Pushdown automata</t>
        </is>
      </c>
      <c r="C56" s="4">
        <v>46360</v>
      </c>
      <c r="D56" s="4">
        <v>46361</v>
      </c>
      <c r="E56" s="4">
        <v>46363</v>
      </c>
      <c r="F56" s="4">
        <v>46367</v>
      </c>
      <c r="G56" s="4">
        <v>46374</v>
      </c>
      <c r="H56" s="7" t="inlineStr">
        <is>
          <t xml:space="preserve">Pending</t>
        </is>
      </c>
      <c r="I56" s="7" t="inlineStr">
        <is>
          <t xml:space="preserve">Pending</t>
        </is>
      </c>
      <c r="J56" s="7" t="inlineStr">
        <is>
          <t xml:space="preserve">Pending</t>
        </is>
      </c>
      <c r="K56" s="7" t="inlineStr">
        <is>
          <t xml:space="preserve">Pending</t>
        </is>
      </c>
    </row>
    <row r="57">
      <c r="A57" s="3" t="inlineStr">
        <is>
          <t xml:space="preserve">CMPE327</t>
        </is>
      </c>
      <c r="B57" s="2" t="inlineStr">
        <is>
          <t xml:space="preserve">A18 · Ogden's lemma</t>
        </is>
      </c>
      <c r="C57" s="4">
        <v>46362</v>
      </c>
      <c r="D57" s="4">
        <v>46363</v>
      </c>
      <c r="E57" s="4">
        <v>46365</v>
      </c>
      <c r="F57" s="4">
        <v>46369</v>
      </c>
      <c r="G57" s="4">
        <v>46376</v>
      </c>
      <c r="H57" s="7" t="inlineStr">
        <is>
          <t xml:space="preserve">Pending</t>
        </is>
      </c>
      <c r="I57" s="7" t="inlineStr">
        <is>
          <t xml:space="preserve">Pending</t>
        </is>
      </c>
      <c r="J57" s="7" t="inlineStr">
        <is>
          <t xml:space="preserve">Pending</t>
        </is>
      </c>
      <c r="K57" s="7" t="inlineStr">
        <is>
          <t xml:space="preserve">Pending</t>
        </is>
      </c>
    </row>
    <row r="58">
      <c r="A58" s="3" t="inlineStr">
        <is>
          <t xml:space="preserve">CMPE327</t>
        </is>
      </c>
      <c r="B58" s="2" t="inlineStr">
        <is>
          <t xml:space="preserve">A19 · Turing machines</t>
        </is>
      </c>
      <c r="C58" s="4">
        <v>46367</v>
      </c>
      <c r="D58" s="4">
        <v>46368</v>
      </c>
      <c r="E58" s="4">
        <v>46370</v>
      </c>
      <c r="F58" s="4">
        <v>46374</v>
      </c>
      <c r="G58" s="4">
        <v>46381</v>
      </c>
      <c r="H58" s="7" t="inlineStr">
        <is>
          <t xml:space="preserve">Pending</t>
        </is>
      </c>
      <c r="I58" s="7" t="inlineStr">
        <is>
          <t xml:space="preserve">Pending</t>
        </is>
      </c>
      <c r="J58" s="7" t="inlineStr">
        <is>
          <t xml:space="preserve">Pending</t>
        </is>
      </c>
      <c r="K58" s="7" t="inlineStr">
        <is>
          <t xml:space="preserve">Pending</t>
        </is>
      </c>
    </row>
    <row r="59">
      <c r="A59" s="3" t="inlineStr">
        <is>
          <t xml:space="preserve">CMPE327</t>
        </is>
      </c>
      <c r="B59" s="2" t="inlineStr">
        <is>
          <t xml:space="preserve">A20 · Decision problems</t>
        </is>
      </c>
      <c r="C59" s="4">
        <v>46368</v>
      </c>
      <c r="D59" s="4">
        <v>46369</v>
      </c>
      <c r="E59" s="4">
        <v>46371</v>
      </c>
      <c r="F59" s="4">
        <v>46375</v>
      </c>
      <c r="G59" s="4">
        <v>46382</v>
      </c>
      <c r="H59" s="7" t="inlineStr">
        <is>
          <t xml:space="preserve">Pending</t>
        </is>
      </c>
      <c r="I59" s="7" t="inlineStr">
        <is>
          <t xml:space="preserve">Pending</t>
        </is>
      </c>
      <c r="J59" s="7" t="inlineStr">
        <is>
          <t xml:space="preserve">Pending</t>
        </is>
      </c>
      <c r="K59" s="7" t="inlineStr">
        <is>
          <t xml:space="preserve">Pending</t>
        </is>
      </c>
    </row>
    <row r="60">
      <c r="A60" s="3" t="inlineStr">
        <is>
          <t xml:space="preserve">CMPE421</t>
        </is>
      </c>
      <c r="B60" s="2" t="inlineStr">
        <is>
          <t xml:space="preserve">I1 · Intro to AI + intelligent agents</t>
        </is>
      </c>
      <c r="C60" s="4">
        <v>46329</v>
      </c>
      <c r="D60" s="4">
        <v>46330</v>
      </c>
      <c r="E60" s="4">
        <v>46332</v>
      </c>
      <c r="F60" s="4">
        <v>46336</v>
      </c>
      <c r="G60" s="4">
        <v>46343</v>
      </c>
      <c r="H60" s="7" t="inlineStr">
        <is>
          <t xml:space="preserve">Pending</t>
        </is>
      </c>
      <c r="I60" s="7" t="inlineStr">
        <is>
          <t xml:space="preserve">Pending</t>
        </is>
      </c>
      <c r="J60" s="7" t="inlineStr">
        <is>
          <t xml:space="preserve">Pending</t>
        </is>
      </c>
      <c r="K60" s="7" t="inlineStr">
        <is>
          <t xml:space="preserve">Pending</t>
        </is>
      </c>
    </row>
    <row r="61">
      <c r="A61" s="3" t="inlineStr">
        <is>
          <t xml:space="preserve">CMPE421</t>
        </is>
      </c>
      <c r="B61" s="2" t="inlineStr">
        <is>
          <t xml:space="preserve">I2 · Problem solving + uninformed search</t>
        </is>
      </c>
      <c r="C61" s="4">
        <v>46330</v>
      </c>
      <c r="D61" s="4">
        <v>46331</v>
      </c>
      <c r="E61" s="4">
        <v>46333</v>
      </c>
      <c r="F61" s="4">
        <v>46337</v>
      </c>
      <c r="G61" s="4">
        <v>46344</v>
      </c>
      <c r="H61" s="7" t="inlineStr">
        <is>
          <t xml:space="preserve">Pending</t>
        </is>
      </c>
      <c r="I61" s="7" t="inlineStr">
        <is>
          <t xml:space="preserve">Pending</t>
        </is>
      </c>
      <c r="J61" s="7" t="inlineStr">
        <is>
          <t xml:space="preserve">Pending</t>
        </is>
      </c>
      <c r="K61" s="7" t="inlineStr">
        <is>
          <t xml:space="preserve">Pending</t>
        </is>
      </c>
    </row>
    <row r="62">
      <c r="A62" s="3" t="inlineStr">
        <is>
          <t xml:space="preserve">CMPE421</t>
        </is>
      </c>
      <c r="B62" s="2" t="inlineStr">
        <is>
          <t xml:space="preserve">I3 · Informed search</t>
        </is>
      </c>
      <c r="C62" s="4">
        <v>46333</v>
      </c>
      <c r="D62" s="4">
        <v>46334</v>
      </c>
      <c r="E62" s="4">
        <v>46336</v>
      </c>
      <c r="F62" s="4">
        <v>46340</v>
      </c>
      <c r="G62" s="4">
        <v>46347</v>
      </c>
      <c r="H62" s="7" t="inlineStr">
        <is>
          <t xml:space="preserve">Pending</t>
        </is>
      </c>
      <c r="I62" s="7" t="inlineStr">
        <is>
          <t xml:space="preserve">Pending</t>
        </is>
      </c>
      <c r="J62" s="7" t="inlineStr">
        <is>
          <t xml:space="preserve">Pending</t>
        </is>
      </c>
      <c r="K62" s="7" t="inlineStr">
        <is>
          <t xml:space="preserve">Pending</t>
        </is>
      </c>
    </row>
    <row r="63">
      <c r="A63" s="3" t="inlineStr">
        <is>
          <t xml:space="preserve">CMPE421</t>
        </is>
      </c>
      <c r="B63" s="2" t="inlineStr">
        <is>
          <t xml:space="preserve">I4 · Game playing</t>
        </is>
      </c>
      <c r="C63" s="4">
        <v>46334</v>
      </c>
      <c r="D63" s="4">
        <v>46335</v>
      </c>
      <c r="E63" s="4">
        <v>46337</v>
      </c>
      <c r="F63" s="4">
        <v>46341</v>
      </c>
      <c r="G63" s="4">
        <v>46348</v>
      </c>
      <c r="H63" s="7" t="inlineStr">
        <is>
          <t xml:space="preserve">Pending</t>
        </is>
      </c>
      <c r="I63" s="7" t="inlineStr">
        <is>
          <t xml:space="preserve">Pending</t>
        </is>
      </c>
      <c r="J63" s="7" t="inlineStr">
        <is>
          <t xml:space="preserve">Pending</t>
        </is>
      </c>
      <c r="K63" s="7" t="inlineStr">
        <is>
          <t xml:space="preserve">Pending</t>
        </is>
      </c>
    </row>
    <row r="64">
      <c r="A64" s="3" t="inlineStr">
        <is>
          <t xml:space="preserve">CMPE421</t>
        </is>
      </c>
      <c r="B64" s="2" t="inlineStr">
        <is>
          <t xml:space="preserve">I5 · CSP</t>
        </is>
      </c>
      <c r="C64" s="4">
        <v>46335</v>
      </c>
      <c r="D64" s="4">
        <v>46336</v>
      </c>
      <c r="E64" s="4">
        <v>46338</v>
      </c>
      <c r="F64" s="4">
        <v>46342</v>
      </c>
      <c r="G64" s="4">
        <v>46349</v>
      </c>
      <c r="H64" s="7" t="inlineStr">
        <is>
          <t xml:space="preserve">Pending</t>
        </is>
      </c>
      <c r="I64" s="7" t="inlineStr">
        <is>
          <t xml:space="preserve">Pending</t>
        </is>
      </c>
      <c r="J64" s="7" t="inlineStr">
        <is>
          <t xml:space="preserve">Pending</t>
        </is>
      </c>
      <c r="K64" s="7" t="inlineStr">
        <is>
          <t xml:space="preserve">Pending</t>
        </is>
      </c>
    </row>
    <row r="65">
      <c r="A65" s="3" t="inlineStr">
        <is>
          <t xml:space="preserve">CMPE421</t>
        </is>
      </c>
      <c r="B65" s="2" t="inlineStr">
        <is>
          <t xml:space="preserve">I6 · Planning</t>
        </is>
      </c>
      <c r="C65" s="4">
        <v>46336</v>
      </c>
      <c r="D65" s="4">
        <v>46337</v>
      </c>
      <c r="E65" s="4">
        <v>46339</v>
      </c>
      <c r="F65" s="4">
        <v>46343</v>
      </c>
      <c r="G65" s="4">
        <v>46350</v>
      </c>
      <c r="H65" s="7" t="inlineStr">
        <is>
          <t xml:space="preserve">Pending</t>
        </is>
      </c>
      <c r="I65" s="7" t="inlineStr">
        <is>
          <t xml:space="preserve">Pending</t>
        </is>
      </c>
      <c r="J65" s="7" t="inlineStr">
        <is>
          <t xml:space="preserve">Pending</t>
        </is>
      </c>
      <c r="K65" s="7" t="inlineStr">
        <is>
          <t xml:space="preserve">Pending</t>
        </is>
      </c>
    </row>
    <row r="66">
      <c r="A66" s="3" t="inlineStr">
        <is>
          <t xml:space="preserve">CMPE421</t>
        </is>
      </c>
      <c r="B66" s="2" t="inlineStr">
        <is>
          <t xml:space="preserve">I7 · Knowledge representation</t>
        </is>
      </c>
      <c r="C66" s="4">
        <v>46337</v>
      </c>
      <c r="D66" s="4">
        <v>46338</v>
      </c>
      <c r="E66" s="4">
        <v>46340</v>
      </c>
      <c r="F66" s="4">
        <v>46344</v>
      </c>
      <c r="G66" s="4">
        <v>46351</v>
      </c>
      <c r="H66" s="7" t="inlineStr">
        <is>
          <t xml:space="preserve">Pending</t>
        </is>
      </c>
      <c r="I66" s="7" t="inlineStr">
        <is>
          <t xml:space="preserve">Pending</t>
        </is>
      </c>
      <c r="J66" s="7" t="inlineStr">
        <is>
          <t xml:space="preserve">Pending</t>
        </is>
      </c>
      <c r="K66" s="7" t="inlineStr">
        <is>
          <t xml:space="preserve">Pending</t>
        </is>
      </c>
    </row>
    <row r="67">
      <c r="A67" s="3" t="inlineStr">
        <is>
          <t xml:space="preserve">CMPE421</t>
        </is>
      </c>
      <c r="B67" s="2" t="inlineStr">
        <is>
          <t xml:space="preserve">I8 · Theorem proving</t>
        </is>
      </c>
      <c r="C67" s="4">
        <v>46338</v>
      </c>
      <c r="D67" s="4">
        <v>46339</v>
      </c>
      <c r="E67" s="4">
        <v>46341</v>
      </c>
      <c r="F67" s="4">
        <v>46345</v>
      </c>
      <c r="G67" s="4">
        <v>46352</v>
      </c>
      <c r="H67" s="7" t="inlineStr">
        <is>
          <t xml:space="preserve">Pending</t>
        </is>
      </c>
      <c r="I67" s="7" t="inlineStr">
        <is>
          <t xml:space="preserve">Pending</t>
        </is>
      </c>
      <c r="J67" s="7" t="inlineStr">
        <is>
          <t xml:space="preserve">Pending</t>
        </is>
      </c>
      <c r="K67" s="7" t="inlineStr">
        <is>
          <t xml:space="preserve">Pending</t>
        </is>
      </c>
    </row>
    <row r="68">
      <c r="A68" s="3" t="inlineStr">
        <is>
          <t xml:space="preserve">CMPE421</t>
        </is>
      </c>
      <c r="B68" s="2" t="inlineStr">
        <is>
          <t xml:space="preserve">I9 · Uncertainty</t>
        </is>
      </c>
      <c r="C68" s="4">
        <v>46340</v>
      </c>
      <c r="D68" s="4">
        <v>46341</v>
      </c>
      <c r="E68" s="4">
        <v>46343</v>
      </c>
      <c r="F68" s="4">
        <v>46347</v>
      </c>
      <c r="G68" s="4">
        <v>46354</v>
      </c>
      <c r="H68" s="7" t="inlineStr">
        <is>
          <t xml:space="preserve">Pending</t>
        </is>
      </c>
      <c r="I68" s="7" t="inlineStr">
        <is>
          <t xml:space="preserve">Pending</t>
        </is>
      </c>
      <c r="J68" s="7" t="inlineStr">
        <is>
          <t xml:space="preserve">Pending</t>
        </is>
      </c>
      <c r="K68" s="7" t="inlineStr">
        <is>
          <t xml:space="preserve">Pending</t>
        </is>
      </c>
    </row>
    <row r="69">
      <c r="A69" s="3" t="inlineStr">
        <is>
          <t xml:space="preserve">CMPE421</t>
        </is>
      </c>
      <c r="B69" s="2" t="inlineStr">
        <is>
          <t xml:space="preserve">I10 · ML fundamentals</t>
        </is>
      </c>
      <c r="C69" s="4">
        <v>46355</v>
      </c>
      <c r="D69" s="4">
        <v>46356</v>
      </c>
      <c r="E69" s="4">
        <v>46358</v>
      </c>
      <c r="F69" s="4">
        <v>46362</v>
      </c>
      <c r="G69" s="4">
        <v>46369</v>
      </c>
      <c r="H69" s="7" t="inlineStr">
        <is>
          <t xml:space="preserve">Pending</t>
        </is>
      </c>
      <c r="I69" s="7" t="inlineStr">
        <is>
          <t xml:space="preserve">Pending</t>
        </is>
      </c>
      <c r="J69" s="7" t="inlineStr">
        <is>
          <t xml:space="preserve">Pending</t>
        </is>
      </c>
      <c r="K69" s="7" t="inlineStr">
        <is>
          <t xml:space="preserve">Pending</t>
        </is>
      </c>
    </row>
    <row r="70">
      <c r="A70" s="3" t="inlineStr">
        <is>
          <t xml:space="preserve">CMPE421</t>
        </is>
      </c>
      <c r="B70" s="2" t="inlineStr">
        <is>
          <t xml:space="preserve">I11 · Classification and regression</t>
        </is>
      </c>
      <c r="C70" s="4">
        <v>46356</v>
      </c>
      <c r="D70" s="4">
        <v>46357</v>
      </c>
      <c r="E70" s="4">
        <v>46359</v>
      </c>
      <c r="F70" s="4">
        <v>46363</v>
      </c>
      <c r="G70" s="4">
        <v>46370</v>
      </c>
      <c r="H70" s="7" t="inlineStr">
        <is>
          <t xml:space="preserve">Pending</t>
        </is>
      </c>
      <c r="I70" s="7" t="inlineStr">
        <is>
          <t xml:space="preserve">Pending</t>
        </is>
      </c>
      <c r="J70" s="7" t="inlineStr">
        <is>
          <t xml:space="preserve">Pending</t>
        </is>
      </c>
      <c r="K70" s="7" t="inlineStr">
        <is>
          <t xml:space="preserve">Pending</t>
        </is>
      </c>
    </row>
    <row r="71">
      <c r="A71" s="3" t="inlineStr">
        <is>
          <t xml:space="preserve">CMPE421</t>
        </is>
      </c>
      <c r="B71" s="2" t="inlineStr">
        <is>
          <t xml:space="preserve">I12 · Neural networks and deep learning</t>
        </is>
      </c>
      <c r="C71" s="4">
        <v>46359</v>
      </c>
      <c r="D71" s="4">
        <v>46360</v>
      </c>
      <c r="E71" s="4">
        <v>46362</v>
      </c>
      <c r="F71" s="4">
        <v>46366</v>
      </c>
      <c r="G71" s="4">
        <v>46373</v>
      </c>
      <c r="H71" s="7" t="inlineStr">
        <is>
          <t xml:space="preserve">Pending</t>
        </is>
      </c>
      <c r="I71" s="7" t="inlineStr">
        <is>
          <t xml:space="preserve">Pending</t>
        </is>
      </c>
      <c r="J71" s="7" t="inlineStr">
        <is>
          <t xml:space="preserve">Pending</t>
        </is>
      </c>
      <c r="K71" s="7" t="inlineStr">
        <is>
          <t xml:space="preserve">Pending</t>
        </is>
      </c>
    </row>
    <row r="72">
      <c r="A72" s="3" t="inlineStr">
        <is>
          <t xml:space="preserve">CMPE421</t>
        </is>
      </c>
      <c r="B72" s="2" t="inlineStr">
        <is>
          <t xml:space="preserve">I13 · NLP and LLMs</t>
        </is>
      </c>
      <c r="C72" s="4">
        <v>46362</v>
      </c>
      <c r="D72" s="4">
        <v>46363</v>
      </c>
      <c r="E72" s="4">
        <v>46365</v>
      </c>
      <c r="F72" s="4">
        <v>46369</v>
      </c>
      <c r="G72" s="4">
        <v>46376</v>
      </c>
      <c r="H72" s="7" t="inlineStr">
        <is>
          <t xml:space="preserve">Pending</t>
        </is>
      </c>
      <c r="I72" s="7" t="inlineStr">
        <is>
          <t xml:space="preserve">Pending</t>
        </is>
      </c>
      <c r="J72" s="7" t="inlineStr">
        <is>
          <t xml:space="preserve">Pending</t>
        </is>
      </c>
      <c r="K72" s="7" t="inlineStr">
        <is>
          <t xml:space="preserve">Pending</t>
        </is>
      </c>
    </row>
    <row r="73">
      <c r="A73" s="3" t="inlineStr">
        <is>
          <t xml:space="preserve">CMPE421</t>
        </is>
      </c>
      <c r="B73" s="2" t="inlineStr">
        <is>
          <t xml:space="preserve">I14 · Reinforcement learning</t>
        </is>
      </c>
      <c r="C73" s="4">
        <v>46363</v>
      </c>
      <c r="D73" s="4">
        <v>46364</v>
      </c>
      <c r="E73" s="4">
        <v>46366</v>
      </c>
      <c r="F73" s="4">
        <v>46370</v>
      </c>
      <c r="G73" s="4">
        <v>46377</v>
      </c>
      <c r="H73" s="7" t="inlineStr">
        <is>
          <t xml:space="preserve">Pending</t>
        </is>
      </c>
      <c r="I73" s="7" t="inlineStr">
        <is>
          <t xml:space="preserve">Pending</t>
        </is>
      </c>
      <c r="J73" s="7" t="inlineStr">
        <is>
          <t xml:space="preserve">Pending</t>
        </is>
      </c>
      <c r="K73" s="7" t="inlineStr">
        <is>
          <t xml:space="preserve">Pending</t>
        </is>
      </c>
    </row>
    <row r="74">
      <c r="A74" s="3" t="inlineStr">
        <is>
          <t xml:space="preserve">CMPE421</t>
        </is>
      </c>
      <c r="B74" s="2" t="inlineStr">
        <is>
          <t xml:space="preserve">I15 · Ethics, explainability, responsible AI</t>
        </is>
      </c>
      <c r="C74" s="4">
        <v>46366</v>
      </c>
      <c r="D74" s="4">
        <v>46367</v>
      </c>
      <c r="E74" s="4">
        <v>46369</v>
      </c>
      <c r="F74" s="4">
        <v>46373</v>
      </c>
      <c r="G74" s="4">
        <v>46380</v>
      </c>
      <c r="H74" s="7" t="inlineStr">
        <is>
          <t xml:space="preserve">Pending</t>
        </is>
      </c>
      <c r="I74" s="7" t="inlineStr">
        <is>
          <t xml:space="preserve">Pending</t>
        </is>
      </c>
      <c r="J74" s="7" t="inlineStr">
        <is>
          <t xml:space="preserve">Pending</t>
        </is>
      </c>
      <c r="K74" s="7" t="inlineStr">
        <is>
          <t xml:space="preserve">Pending</t>
        </is>
      </c>
    </row>
    <row r="75">
      <c r="A75" s="3" t="inlineStr">
        <is>
          <t xml:space="preserve">CMPE453</t>
        </is>
      </c>
      <c r="B75" s="2" t="inlineStr">
        <is>
          <t xml:space="preserve">M1 · Course overview + ATmega328P architecture</t>
        </is>
      </c>
      <c r="C75" s="4">
        <v>46330</v>
      </c>
      <c r="D75" s="4">
        <v>46331</v>
      </c>
      <c r="E75" s="4">
        <v>46333</v>
      </c>
      <c r="F75" s="4">
        <v>46337</v>
      </c>
      <c r="G75" s="4">
        <v>46344</v>
      </c>
      <c r="H75" s="7" t="inlineStr">
        <is>
          <t xml:space="preserve">Pending</t>
        </is>
      </c>
      <c r="I75" s="7" t="inlineStr">
        <is>
          <t xml:space="preserve">Pending</t>
        </is>
      </c>
      <c r="J75" s="7" t="inlineStr">
        <is>
          <t xml:space="preserve">Pending</t>
        </is>
      </c>
      <c r="K75" s="7" t="inlineStr">
        <is>
          <t xml:space="preserve">Pending</t>
        </is>
      </c>
    </row>
    <row r="76">
      <c r="A76" s="3" t="inlineStr">
        <is>
          <t xml:space="preserve">CMPE453</t>
        </is>
      </c>
      <c r="B76" s="2" t="inlineStr">
        <is>
          <t xml:space="preserve">M2 · Programming AVR (C + bit işlemleri)</t>
        </is>
      </c>
      <c r="C76" s="4">
        <v>46331</v>
      </c>
      <c r="D76" s="4">
        <v>46332</v>
      </c>
      <c r="E76" s="4">
        <v>46334</v>
      </c>
      <c r="F76" s="4">
        <v>46338</v>
      </c>
      <c r="G76" s="4">
        <v>46345</v>
      </c>
      <c r="H76" s="7" t="inlineStr">
        <is>
          <t xml:space="preserve">Pending</t>
        </is>
      </c>
      <c r="I76" s="7" t="inlineStr">
        <is>
          <t xml:space="preserve">Pending</t>
        </is>
      </c>
      <c r="J76" s="7" t="inlineStr">
        <is>
          <t xml:space="preserve">Pending</t>
        </is>
      </c>
      <c r="K76" s="7" t="inlineStr">
        <is>
          <t xml:space="preserve">Pending</t>
        </is>
      </c>
    </row>
    <row r="77">
      <c r="A77" s="3" t="inlineStr">
        <is>
          <t xml:space="preserve">CMPE453</t>
        </is>
      </c>
      <c r="B77" s="2" t="inlineStr">
        <is>
          <t xml:space="preserve">M3 · AVR I/O portları</t>
        </is>
      </c>
      <c r="C77" s="4">
        <v>46332</v>
      </c>
      <c r="D77" s="4">
        <v>46333</v>
      </c>
      <c r="E77" s="4">
        <v>46335</v>
      </c>
      <c r="F77" s="4">
        <v>46339</v>
      </c>
      <c r="G77" s="4">
        <v>46346</v>
      </c>
      <c r="H77" s="7" t="inlineStr">
        <is>
          <t xml:space="preserve">Pending</t>
        </is>
      </c>
      <c r="I77" s="7" t="inlineStr">
        <is>
          <t xml:space="preserve">Pending</t>
        </is>
      </c>
      <c r="J77" s="7" t="inlineStr">
        <is>
          <t xml:space="preserve">Pending</t>
        </is>
      </c>
      <c r="K77" s="7" t="inlineStr">
        <is>
          <t xml:space="preserve">Pending</t>
        </is>
      </c>
    </row>
    <row r="78">
      <c r="A78" s="3" t="inlineStr">
        <is>
          <t xml:space="preserve">CMPE453</t>
        </is>
      </c>
      <c r="B78" s="2" t="inlineStr">
        <is>
          <t xml:space="preserve">M4 · Digital input</t>
        </is>
      </c>
      <c r="C78" s="4">
        <v>46333</v>
      </c>
      <c r="D78" s="4">
        <v>46334</v>
      </c>
      <c r="E78" s="4">
        <v>46336</v>
      </c>
      <c r="F78" s="4">
        <v>46340</v>
      </c>
      <c r="G78" s="4">
        <v>46347</v>
      </c>
      <c r="H78" s="7" t="inlineStr">
        <is>
          <t xml:space="preserve">Pending</t>
        </is>
      </c>
      <c r="I78" s="7" t="inlineStr">
        <is>
          <t xml:space="preserve">Pending</t>
        </is>
      </c>
      <c r="J78" s="7" t="inlineStr">
        <is>
          <t xml:space="preserve">Pending</t>
        </is>
      </c>
      <c r="K78" s="7" t="inlineStr">
        <is>
          <t xml:space="preserve">Pending</t>
        </is>
      </c>
    </row>
    <row r="79">
      <c r="A79" s="3" t="inlineStr">
        <is>
          <t xml:space="preserve">CMPE453</t>
        </is>
      </c>
      <c r="B79" s="2" t="inlineStr">
        <is>
          <t xml:space="preserve">M5 · USART</t>
        </is>
      </c>
      <c r="C79" s="4">
        <v>46334</v>
      </c>
      <c r="D79" s="4">
        <v>46335</v>
      </c>
      <c r="E79" s="4">
        <v>46337</v>
      </c>
      <c r="F79" s="4">
        <v>46341</v>
      </c>
      <c r="G79" s="4">
        <v>46348</v>
      </c>
      <c r="H79" s="7" t="inlineStr">
        <is>
          <t xml:space="preserve">Pending</t>
        </is>
      </c>
      <c r="I79" s="7" t="inlineStr">
        <is>
          <t xml:space="preserve">Pending</t>
        </is>
      </c>
      <c r="J79" s="7" t="inlineStr">
        <is>
          <t xml:space="preserve">Pending</t>
        </is>
      </c>
      <c r="K79" s="7" t="inlineStr">
        <is>
          <t xml:space="preserve">Pending</t>
        </is>
      </c>
    </row>
    <row r="80">
      <c r="A80" s="3" t="inlineStr">
        <is>
          <t xml:space="preserve">CMPE453</t>
        </is>
      </c>
      <c r="B80" s="2" t="inlineStr">
        <is>
          <t xml:space="preserve">M6 · SPI ve I2C</t>
        </is>
      </c>
      <c r="C80" s="4">
        <v>46335</v>
      </c>
      <c r="D80" s="4">
        <v>46336</v>
      </c>
      <c r="E80" s="4">
        <v>46338</v>
      </c>
      <c r="F80" s="4">
        <v>46342</v>
      </c>
      <c r="G80" s="4">
        <v>46349</v>
      </c>
      <c r="H80" s="7" t="inlineStr">
        <is>
          <t xml:space="preserve">Pending</t>
        </is>
      </c>
      <c r="I80" s="7" t="inlineStr">
        <is>
          <t xml:space="preserve">Pending</t>
        </is>
      </c>
      <c r="J80" s="7" t="inlineStr">
        <is>
          <t xml:space="preserve">Pending</t>
        </is>
      </c>
      <c r="K80" s="7" t="inlineStr">
        <is>
          <t xml:space="preserve">Pending</t>
        </is>
      </c>
    </row>
    <row r="81">
      <c r="A81" s="3" t="inlineStr">
        <is>
          <t xml:space="preserve">CMPE453</t>
        </is>
      </c>
      <c r="B81" s="2" t="inlineStr">
        <is>
          <t xml:space="preserve">M7 · ADC</t>
        </is>
      </c>
      <c r="C81" s="4">
        <v>46336</v>
      </c>
      <c r="D81" s="4">
        <v>46337</v>
      </c>
      <c r="E81" s="4">
        <v>46339</v>
      </c>
      <c r="F81" s="4">
        <v>46343</v>
      </c>
      <c r="G81" s="4">
        <v>46350</v>
      </c>
      <c r="H81" s="7" t="inlineStr">
        <is>
          <t xml:space="preserve">Pending</t>
        </is>
      </c>
      <c r="I81" s="7" t="inlineStr">
        <is>
          <t xml:space="preserve">Pending</t>
        </is>
      </c>
      <c r="J81" s="7" t="inlineStr">
        <is>
          <t xml:space="preserve">Pending</t>
        </is>
      </c>
      <c r="K81" s="7" t="inlineStr">
        <is>
          <t xml:space="preserve">Pending</t>
        </is>
      </c>
    </row>
    <row r="82">
      <c r="A82" s="3" t="inlineStr">
        <is>
          <t xml:space="preserve">CMPE453</t>
        </is>
      </c>
      <c r="B82" s="2" t="inlineStr">
        <is>
          <t xml:space="preserve">M8 · Interrupts</t>
        </is>
      </c>
      <c r="C82" s="4">
        <v>46341</v>
      </c>
      <c r="D82" s="4">
        <v>46342</v>
      </c>
      <c r="E82" s="4">
        <v>46344</v>
      </c>
      <c r="F82" s="4">
        <v>46348</v>
      </c>
      <c r="G82" s="4">
        <v>46355</v>
      </c>
      <c r="H82" s="7" t="inlineStr">
        <is>
          <t xml:space="preserve">Pending</t>
        </is>
      </c>
      <c r="I82" s="7" t="inlineStr">
        <is>
          <t xml:space="preserve">Pending</t>
        </is>
      </c>
      <c r="J82" s="7" t="inlineStr">
        <is>
          <t xml:space="preserve">Pending</t>
        </is>
      </c>
      <c r="K82" s="7" t="inlineStr">
        <is>
          <t xml:space="preserve">Pending</t>
        </is>
      </c>
    </row>
    <row r="83">
      <c r="A83" s="3" t="inlineStr">
        <is>
          <t xml:space="preserve">CMPE453</t>
        </is>
      </c>
      <c r="B83" s="2" t="inlineStr">
        <is>
          <t xml:space="preserve">M9 · Timers/counters</t>
        </is>
      </c>
      <c r="C83" s="4">
        <v>46343</v>
      </c>
      <c r="D83" s="4">
        <v>46344</v>
      </c>
      <c r="E83" s="4">
        <v>46346</v>
      </c>
      <c r="F83" s="4">
        <v>46350</v>
      </c>
      <c r="G83" s="4">
        <v>46357</v>
      </c>
      <c r="H83" s="7" t="inlineStr">
        <is>
          <t xml:space="preserve">Pending</t>
        </is>
      </c>
      <c r="I83" s="7" t="inlineStr">
        <is>
          <t xml:space="preserve">Pending</t>
        </is>
      </c>
      <c r="J83" s="7" t="inlineStr">
        <is>
          <t xml:space="preserve">Pending</t>
        </is>
      </c>
      <c r="K83" s="7" t="inlineStr">
        <is>
          <t xml:space="preserve">Pending</t>
        </is>
      </c>
    </row>
    <row r="84">
      <c r="A84" s="3" t="inlineStr">
        <is>
          <t xml:space="preserve">CMPE453</t>
        </is>
      </c>
      <c r="B84" s="2" t="inlineStr">
        <is>
          <t xml:space="preserve">M10 · PWM (AVR)</t>
        </is>
      </c>
      <c r="C84" s="4">
        <v>46353</v>
      </c>
      <c r="D84" s="4">
        <v>46354</v>
      </c>
      <c r="E84" s="4">
        <v>46356</v>
      </c>
      <c r="F84" s="4">
        <v>46360</v>
      </c>
      <c r="G84" s="4">
        <v>46367</v>
      </c>
      <c r="H84" s="7" t="inlineStr">
        <is>
          <t xml:space="preserve">Pending</t>
        </is>
      </c>
      <c r="I84" s="7" t="inlineStr">
        <is>
          <t xml:space="preserve">Pending</t>
        </is>
      </c>
      <c r="J84" s="7" t="inlineStr">
        <is>
          <t xml:space="preserve">Pending</t>
        </is>
      </c>
      <c r="K84" s="7" t="inlineStr">
        <is>
          <t xml:space="preserve">Pending</t>
        </is>
      </c>
    </row>
    <row r="85">
      <c r="A85" s="3" t="inlineStr">
        <is>
          <t xml:space="preserve">CMPE453</t>
        </is>
      </c>
      <c r="B85" s="2" t="inlineStr">
        <is>
          <t xml:space="preserve">M11 · ARM Cortex / STM32 Discovery temelleri</t>
        </is>
      </c>
      <c r="C85" s="4">
        <v>46358</v>
      </c>
      <c r="D85" s="4">
        <v>46359</v>
      </c>
      <c r="E85" s="4">
        <v>46361</v>
      </c>
      <c r="F85" s="4">
        <v>46365</v>
      </c>
      <c r="G85" s="4">
        <v>46372</v>
      </c>
      <c r="H85" s="7" t="inlineStr">
        <is>
          <t xml:space="preserve">Pending</t>
        </is>
      </c>
      <c r="I85" s="7" t="inlineStr">
        <is>
          <t xml:space="preserve">Pending</t>
        </is>
      </c>
      <c r="J85" s="7" t="inlineStr">
        <is>
          <t xml:space="preserve">Pending</t>
        </is>
      </c>
      <c r="K85" s="7" t="inlineStr">
        <is>
          <t xml:space="preserve">Pending</t>
        </is>
      </c>
    </row>
    <row r="86">
      <c r="A86" s="3" t="inlineStr">
        <is>
          <t xml:space="preserve">CMPE453</t>
        </is>
      </c>
      <c r="B86" s="2" t="inlineStr">
        <is>
          <t xml:space="preserve">M12 · STM32 GPIO + LED</t>
        </is>
      </c>
      <c r="C86" s="4">
        <v>46362</v>
      </c>
      <c r="D86" s="4">
        <v>46363</v>
      </c>
      <c r="E86" s="4">
        <v>46365</v>
      </c>
      <c r="F86" s="4">
        <v>46369</v>
      </c>
      <c r="G86" s="4">
        <v>46376</v>
      </c>
      <c r="H86" s="7" t="inlineStr">
        <is>
          <t xml:space="preserve">Pending</t>
        </is>
      </c>
      <c r="I86" s="7" t="inlineStr">
        <is>
          <t xml:space="preserve">Pending</t>
        </is>
      </c>
      <c r="J86" s="7" t="inlineStr">
        <is>
          <t xml:space="preserve">Pending</t>
        </is>
      </c>
      <c r="K86" s="7" t="inlineStr">
        <is>
          <t xml:space="preserve">Pending</t>
        </is>
      </c>
    </row>
    <row r="87">
      <c r="A87" s="3" t="inlineStr">
        <is>
          <t xml:space="preserve">CMPE453</t>
        </is>
      </c>
      <c r="B87" s="2" t="inlineStr">
        <is>
          <t xml:space="preserve">M13 · PWM for ARM Cortex</t>
        </is>
      </c>
      <c r="C87" s="4">
        <v>46366</v>
      </c>
      <c r="D87" s="4">
        <v>46367</v>
      </c>
      <c r="E87" s="4">
        <v>46369</v>
      </c>
      <c r="F87" s="4">
        <v>46373</v>
      </c>
      <c r="G87" s="4">
        <v>46380</v>
      </c>
      <c r="H87" s="7" t="inlineStr">
        <is>
          <t xml:space="preserve">Pending</t>
        </is>
      </c>
      <c r="I87" s="7" t="inlineStr">
        <is>
          <t xml:space="preserve">Pending</t>
        </is>
      </c>
      <c r="J87" s="7" t="inlineStr">
        <is>
          <t xml:space="preserve">Pending</t>
        </is>
      </c>
      <c r="K87" s="7" t="inlineStr">
        <is>
          <t xml:space="preserve">Pending</t>
        </is>
      </c>
    </row>
  </sheetData>
  <conditionalFormatting sqref="H5:K87">
    <cfRule type="expression" dxfId="0" priority="1">
      <formula>H5="Done"</formula>
    </cfRule>
  </conditionalFormatting>
  <conditionalFormatting sqref="D5:G87">
    <cfRule type="expression" dxfId="2" priority="2">
      <formula>AND(D5&lt;TODAY(),H5&lt;&gt;"Done")</formula>
    </cfRule>
  </conditionalFormatting>
  <dataValidations count="1">
    <dataValidation type="list" allowBlank="1" showErrorMessage="1" sqref="H5:K87">
      <formula1>"Pending,Done,Skipped"</formula1>
    </dataValidation>
  </dataValidations>
  <pageMargins left="0.5" right="0.5" top="0.6" bottom="0.6" header="0.3" footer="0.3"/>
  <pageSetup paperSize="9" orientation="landscape"/>
</worksheet>
</file>

<file path=xl/worksheets/sheet8.xml><?xml version="1.0" encoding="utf-8"?>
<worksheet xmlns="http://schemas.openxmlformats.org/spreadsheetml/2006/main">
  <sheetPr>
    <tabColor rgb="FFAD1457"/>
  </sheetPr>
  <dimension ref="A1:J303"/>
  <sheetViews>
    <sheetView workbookViewId="0" showGridLines="0">
      <pane ySplit="3" topLeftCell="A4" activePane="bottomLeft" state="frozen"/>
    </sheetView>
  </sheetViews>
  <sheetFormatPr defaultRowHeight="15"/>
  <cols>
    <col min="1" max="1" width="12" customWidth="1"/>
    <col min="2" max="2" width="11" customWidth="1"/>
    <col min="3" max="3" width="26" customWidth="1"/>
    <col min="4" max="4" width="24" customWidth="1"/>
    <col min="5" max="5" width="24" customWidth="1"/>
    <col min="6" max="6" width="40" customWidth="1"/>
    <col min="7" max="7" width="40" customWidth="1"/>
    <col min="8" max="8" width="12" customWidth="1"/>
    <col min="9" max="9" width="12" customWidth="1"/>
    <col min="10" max="10" width="11" customWidth="1"/>
  </cols>
  <sheetData>
    <row r="1">
      <c r="A1" s="10" t="inlineStr">
        <is>
          <t xml:space="preserve">Yanlış defteri — her yanlışın SEBEBİNİ yaz; aynı hata tekrarlanıyorsa o konuya düzeltici çalışma ekle</t>
        </is>
      </c>
    </row>
    <row r="3">
      <c r="A3" s="1" t="inlineStr">
        <is>
          <t xml:space="preserve">Tarih</t>
        </is>
      </c>
      <c r="B3" s="1" t="inlineStr">
        <is>
          <t xml:space="preserve">Ders</t>
        </is>
      </c>
      <c r="C3" s="1" t="inlineStr">
        <is>
          <t xml:space="preserve">Konu</t>
        </is>
      </c>
      <c r="D3" s="1" t="inlineStr">
        <is>
          <t xml:space="preserve">Kaynak / soru</t>
        </is>
      </c>
      <c r="E3" s="1" t="inlineStr">
        <is>
          <t xml:space="preserve">Hata türü</t>
        </is>
      </c>
      <c r="F3" s="1" t="inlineStr">
        <is>
          <t xml:space="preserve">Ne yanlış gitti</t>
        </is>
      </c>
      <c r="G3" s="1" t="inlineStr">
        <is>
          <t xml:space="preserve">Doğru çözüm / kural</t>
        </is>
      </c>
      <c r="H3" s="1" t="inlineStr">
        <is>
          <t xml:space="preserve">Tekrar (D+3)</t>
        </is>
      </c>
      <c r="I3" s="1" t="inlineStr">
        <is>
          <t xml:space="preserve">Tekrar (D+7)</t>
        </is>
      </c>
      <c r="J3" s="1" t="inlineStr">
        <is>
          <t xml:space="preserve">Düzeltildi?</t>
        </is>
      </c>
    </row>
    <row r="4">
      <c r="A4" s="8"/>
      <c r="B4" s="7"/>
      <c r="C4" s="7"/>
      <c r="D4" s="7"/>
      <c r="E4" s="7"/>
      <c r="F4" s="7"/>
      <c r="G4" s="7"/>
      <c r="H4" s="16" t="str">
        <f>IF($A4="","",$A4+3)</f>
        <v/>
      </c>
      <c r="I4" s="16" t="str">
        <f>IF($A4="","",$A4+7)</f>
        <v/>
      </c>
      <c r="J4" s="7"/>
    </row>
    <row r="5">
      <c r="A5" s="8"/>
      <c r="B5" s="7"/>
      <c r="C5" s="7"/>
      <c r="D5" s="7"/>
      <c r="E5" s="7"/>
      <c r="F5" s="7"/>
      <c r="G5" s="7"/>
      <c r="H5" s="16" t="str">
        <f>IF($A5="","",$A5+3)</f>
        <v/>
      </c>
      <c r="I5" s="16" t="str">
        <f>IF($A5="","",$A5+7)</f>
        <v/>
      </c>
      <c r="J5" s="7"/>
    </row>
    <row r="6">
      <c r="A6" s="8"/>
      <c r="B6" s="7"/>
      <c r="C6" s="7"/>
      <c r="D6" s="7"/>
      <c r="E6" s="7"/>
      <c r="F6" s="7"/>
      <c r="G6" s="7"/>
      <c r="H6" s="16" t="str">
        <f>IF($A6="","",$A6+3)</f>
        <v/>
      </c>
      <c r="I6" s="16" t="str">
        <f>IF($A6="","",$A6+7)</f>
        <v/>
      </c>
      <c r="J6" s="7"/>
    </row>
    <row r="7">
      <c r="A7" s="8"/>
      <c r="B7" s="7"/>
      <c r="C7" s="7"/>
      <c r="D7" s="7"/>
      <c r="E7" s="7"/>
      <c r="F7" s="7"/>
      <c r="G7" s="7"/>
      <c r="H7" s="16" t="str">
        <f>IF($A7="","",$A7+3)</f>
        <v/>
      </c>
      <c r="I7" s="16" t="str">
        <f>IF($A7="","",$A7+7)</f>
        <v/>
      </c>
      <c r="J7" s="7"/>
    </row>
    <row r="8">
      <c r="A8" s="8"/>
      <c r="B8" s="7"/>
      <c r="C8" s="7"/>
      <c r="D8" s="7"/>
      <c r="E8" s="7"/>
      <c r="F8" s="7"/>
      <c r="G8" s="7"/>
      <c r="H8" s="16" t="str">
        <f>IF($A8="","",$A8+3)</f>
        <v/>
      </c>
      <c r="I8" s="16" t="str">
        <f>IF($A8="","",$A8+7)</f>
        <v/>
      </c>
      <c r="J8" s="7"/>
    </row>
    <row r="9">
      <c r="A9" s="8"/>
      <c r="B9" s="7"/>
      <c r="C9" s="7"/>
      <c r="D9" s="7"/>
      <c r="E9" s="7"/>
      <c r="F9" s="7"/>
      <c r="G9" s="7"/>
      <c r="H9" s="16" t="str">
        <f>IF($A9="","",$A9+3)</f>
        <v/>
      </c>
      <c r="I9" s="16" t="str">
        <f>IF($A9="","",$A9+7)</f>
        <v/>
      </c>
      <c r="J9" s="7"/>
    </row>
    <row r="10">
      <c r="A10" s="8"/>
      <c r="B10" s="7"/>
      <c r="C10" s="7"/>
      <c r="D10" s="7"/>
      <c r="E10" s="7"/>
      <c r="F10" s="7"/>
      <c r="G10" s="7"/>
      <c r="H10" s="16" t="str">
        <f>IF($A10="","",$A10+3)</f>
        <v/>
      </c>
      <c r="I10" s="16" t="str">
        <f>IF($A10="","",$A10+7)</f>
        <v/>
      </c>
      <c r="J10" s="7"/>
    </row>
    <row r="11">
      <c r="A11" s="8"/>
      <c r="B11" s="7"/>
      <c r="C11" s="7"/>
      <c r="D11" s="7"/>
      <c r="E11" s="7"/>
      <c r="F11" s="7"/>
      <c r="G11" s="7"/>
      <c r="H11" s="16" t="str">
        <f>IF($A11="","",$A11+3)</f>
        <v/>
      </c>
      <c r="I11" s="16" t="str">
        <f>IF($A11="","",$A11+7)</f>
        <v/>
      </c>
      <c r="J11" s="7"/>
    </row>
    <row r="12">
      <c r="A12" s="8"/>
      <c r="B12" s="7"/>
      <c r="C12" s="7"/>
      <c r="D12" s="7"/>
      <c r="E12" s="7"/>
      <c r="F12" s="7"/>
      <c r="G12" s="7"/>
      <c r="H12" s="16" t="str">
        <f>IF($A12="","",$A12+3)</f>
        <v/>
      </c>
      <c r="I12" s="16" t="str">
        <f>IF($A12="","",$A12+7)</f>
        <v/>
      </c>
      <c r="J12" s="7"/>
    </row>
    <row r="13">
      <c r="A13" s="8"/>
      <c r="B13" s="7"/>
      <c r="C13" s="7"/>
      <c r="D13" s="7"/>
      <c r="E13" s="7"/>
      <c r="F13" s="7"/>
      <c r="G13" s="7"/>
      <c r="H13" s="16" t="str">
        <f>IF($A13="","",$A13+3)</f>
        <v/>
      </c>
      <c r="I13" s="16" t="str">
        <f>IF($A13="","",$A13+7)</f>
        <v/>
      </c>
      <c r="J13" s="7"/>
    </row>
    <row r="14">
      <c r="A14" s="8"/>
      <c r="B14" s="7"/>
      <c r="C14" s="7"/>
      <c r="D14" s="7"/>
      <c r="E14" s="7"/>
      <c r="F14" s="7"/>
      <c r="G14" s="7"/>
      <c r="H14" s="16" t="str">
        <f>IF($A14="","",$A14+3)</f>
        <v/>
      </c>
      <c r="I14" s="16" t="str">
        <f>IF($A14="","",$A14+7)</f>
        <v/>
      </c>
      <c r="J14" s="7"/>
    </row>
    <row r="15">
      <c r="A15" s="8"/>
      <c r="B15" s="7"/>
      <c r="C15" s="7"/>
      <c r="D15" s="7"/>
      <c r="E15" s="7"/>
      <c r="F15" s="7"/>
      <c r="G15" s="7"/>
      <c r="H15" s="16" t="str">
        <f>IF($A15="","",$A15+3)</f>
        <v/>
      </c>
      <c r="I15" s="16" t="str">
        <f>IF($A15="","",$A15+7)</f>
        <v/>
      </c>
      <c r="J15" s="7"/>
    </row>
    <row r="16">
      <c r="A16" s="8"/>
      <c r="B16" s="7"/>
      <c r="C16" s="7"/>
      <c r="D16" s="7"/>
      <c r="E16" s="7"/>
      <c r="F16" s="7"/>
      <c r="G16" s="7"/>
      <c r="H16" s="16" t="str">
        <f>IF($A16="","",$A16+3)</f>
        <v/>
      </c>
      <c r="I16" s="16" t="str">
        <f>IF($A16="","",$A16+7)</f>
        <v/>
      </c>
      <c r="J16" s="7"/>
    </row>
    <row r="17">
      <c r="A17" s="8"/>
      <c r="B17" s="7"/>
      <c r="C17" s="7"/>
      <c r="D17" s="7"/>
      <c r="E17" s="7"/>
      <c r="F17" s="7"/>
      <c r="G17" s="7"/>
      <c r="H17" s="16" t="str">
        <f>IF($A17="","",$A17+3)</f>
        <v/>
      </c>
      <c r="I17" s="16" t="str">
        <f>IF($A17="","",$A17+7)</f>
        <v/>
      </c>
      <c r="J17" s="7"/>
    </row>
    <row r="18">
      <c r="A18" s="8"/>
      <c r="B18" s="7"/>
      <c r="C18" s="7"/>
      <c r="D18" s="7"/>
      <c r="E18" s="7"/>
      <c r="F18" s="7"/>
      <c r="G18" s="7"/>
      <c r="H18" s="16" t="str">
        <f>IF($A18="","",$A18+3)</f>
        <v/>
      </c>
      <c r="I18" s="16" t="str">
        <f>IF($A18="","",$A18+7)</f>
        <v/>
      </c>
      <c r="J18" s="7"/>
    </row>
    <row r="19">
      <c r="A19" s="8"/>
      <c r="B19" s="7"/>
      <c r="C19" s="7"/>
      <c r="D19" s="7"/>
      <c r="E19" s="7"/>
      <c r="F19" s="7"/>
      <c r="G19" s="7"/>
      <c r="H19" s="16" t="str">
        <f>IF($A19="","",$A19+3)</f>
        <v/>
      </c>
      <c r="I19" s="16" t="str">
        <f>IF($A19="","",$A19+7)</f>
        <v/>
      </c>
      <c r="J19" s="7"/>
    </row>
    <row r="20">
      <c r="A20" s="8"/>
      <c r="B20" s="7"/>
      <c r="C20" s="7"/>
      <c r="D20" s="7"/>
      <c r="E20" s="7"/>
      <c r="F20" s="7"/>
      <c r="G20" s="7"/>
      <c r="H20" s="16" t="str">
        <f>IF($A20="","",$A20+3)</f>
        <v/>
      </c>
      <c r="I20" s="16" t="str">
        <f>IF($A20="","",$A20+7)</f>
        <v/>
      </c>
      <c r="J20" s="7"/>
    </row>
    <row r="21">
      <c r="A21" s="8"/>
      <c r="B21" s="7"/>
      <c r="C21" s="7"/>
      <c r="D21" s="7"/>
      <c r="E21" s="7"/>
      <c r="F21" s="7"/>
      <c r="G21" s="7"/>
      <c r="H21" s="16" t="str">
        <f>IF($A21="","",$A21+3)</f>
        <v/>
      </c>
      <c r="I21" s="16" t="str">
        <f>IF($A21="","",$A21+7)</f>
        <v/>
      </c>
      <c r="J21" s="7"/>
    </row>
    <row r="22">
      <c r="A22" s="8"/>
      <c r="B22" s="7"/>
      <c r="C22" s="7"/>
      <c r="D22" s="7"/>
      <c r="E22" s="7"/>
      <c r="F22" s="7"/>
      <c r="G22" s="7"/>
      <c r="H22" s="16" t="str">
        <f>IF($A22="","",$A22+3)</f>
        <v/>
      </c>
      <c r="I22" s="16" t="str">
        <f>IF($A22="","",$A22+7)</f>
        <v/>
      </c>
      <c r="J22" s="7"/>
    </row>
    <row r="23">
      <c r="A23" s="8"/>
      <c r="B23" s="7"/>
      <c r="C23" s="7"/>
      <c r="D23" s="7"/>
      <c r="E23" s="7"/>
      <c r="F23" s="7"/>
      <c r="G23" s="7"/>
      <c r="H23" s="16" t="str">
        <f>IF($A23="","",$A23+3)</f>
        <v/>
      </c>
      <c r="I23" s="16" t="str">
        <f>IF($A23="","",$A23+7)</f>
        <v/>
      </c>
      <c r="J23" s="7"/>
    </row>
    <row r="24">
      <c r="A24" s="8"/>
      <c r="B24" s="7"/>
      <c r="C24" s="7"/>
      <c r="D24" s="7"/>
      <c r="E24" s="7"/>
      <c r="F24" s="7"/>
      <c r="G24" s="7"/>
      <c r="H24" s="16" t="str">
        <f>IF($A24="","",$A24+3)</f>
        <v/>
      </c>
      <c r="I24" s="16" t="str">
        <f>IF($A24="","",$A24+7)</f>
        <v/>
      </c>
      <c r="J24" s="7"/>
    </row>
    <row r="25">
      <c r="A25" s="8"/>
      <c r="B25" s="7"/>
      <c r="C25" s="7"/>
      <c r="D25" s="7"/>
      <c r="E25" s="7"/>
      <c r="F25" s="7"/>
      <c r="G25" s="7"/>
      <c r="H25" s="16" t="str">
        <f>IF($A25="","",$A25+3)</f>
        <v/>
      </c>
      <c r="I25" s="16" t="str">
        <f>IF($A25="","",$A25+7)</f>
        <v/>
      </c>
      <c r="J25" s="7"/>
    </row>
    <row r="26">
      <c r="A26" s="8"/>
      <c r="B26" s="7"/>
      <c r="C26" s="7"/>
      <c r="D26" s="7"/>
      <c r="E26" s="7"/>
      <c r="F26" s="7"/>
      <c r="G26" s="7"/>
      <c r="H26" s="16" t="str">
        <f>IF($A26="","",$A26+3)</f>
        <v/>
      </c>
      <c r="I26" s="16" t="str">
        <f>IF($A26="","",$A26+7)</f>
        <v/>
      </c>
      <c r="J26" s="7"/>
    </row>
    <row r="27">
      <c r="A27" s="8"/>
      <c r="B27" s="7"/>
      <c r="C27" s="7"/>
      <c r="D27" s="7"/>
      <c r="E27" s="7"/>
      <c r="F27" s="7"/>
      <c r="G27" s="7"/>
      <c r="H27" s="16" t="str">
        <f>IF($A27="","",$A27+3)</f>
        <v/>
      </c>
      <c r="I27" s="16" t="str">
        <f>IF($A27="","",$A27+7)</f>
        <v/>
      </c>
      <c r="J27" s="7"/>
    </row>
    <row r="28">
      <c r="A28" s="8"/>
      <c r="B28" s="7"/>
      <c r="C28" s="7"/>
      <c r="D28" s="7"/>
      <c r="E28" s="7"/>
      <c r="F28" s="7"/>
      <c r="G28" s="7"/>
      <c r="H28" s="16" t="str">
        <f>IF($A28="","",$A28+3)</f>
        <v/>
      </c>
      <c r="I28" s="16" t="str">
        <f>IF($A28="","",$A28+7)</f>
        <v/>
      </c>
      <c r="J28" s="7"/>
    </row>
    <row r="29">
      <c r="A29" s="8"/>
      <c r="B29" s="7"/>
      <c r="C29" s="7"/>
      <c r="D29" s="7"/>
      <c r="E29" s="7"/>
      <c r="F29" s="7"/>
      <c r="G29" s="7"/>
      <c r="H29" s="16" t="str">
        <f>IF($A29="","",$A29+3)</f>
        <v/>
      </c>
      <c r="I29" s="16" t="str">
        <f>IF($A29="","",$A29+7)</f>
        <v/>
      </c>
      <c r="J29" s="7"/>
    </row>
    <row r="30">
      <c r="A30" s="8"/>
      <c r="B30" s="7"/>
      <c r="C30" s="7"/>
      <c r="D30" s="7"/>
      <c r="E30" s="7"/>
      <c r="F30" s="7"/>
      <c r="G30" s="7"/>
      <c r="H30" s="16" t="str">
        <f>IF($A30="","",$A30+3)</f>
        <v/>
      </c>
      <c r="I30" s="16" t="str">
        <f>IF($A30="","",$A30+7)</f>
        <v/>
      </c>
      <c r="J30" s="7"/>
    </row>
    <row r="31">
      <c r="A31" s="8"/>
      <c r="B31" s="7"/>
      <c r="C31" s="7"/>
      <c r="D31" s="7"/>
      <c r="E31" s="7"/>
      <c r="F31" s="7"/>
      <c r="G31" s="7"/>
      <c r="H31" s="16" t="str">
        <f>IF($A31="","",$A31+3)</f>
        <v/>
      </c>
      <c r="I31" s="16" t="str">
        <f>IF($A31="","",$A31+7)</f>
        <v/>
      </c>
      <c r="J31" s="7"/>
    </row>
    <row r="32">
      <c r="A32" s="8"/>
      <c r="B32" s="7"/>
      <c r="C32" s="7"/>
      <c r="D32" s="7"/>
      <c r="E32" s="7"/>
      <c r="F32" s="7"/>
      <c r="G32" s="7"/>
      <c r="H32" s="16" t="str">
        <f>IF($A32="","",$A32+3)</f>
        <v/>
      </c>
      <c r="I32" s="16" t="str">
        <f>IF($A32="","",$A32+7)</f>
        <v/>
      </c>
      <c r="J32" s="7"/>
    </row>
    <row r="33">
      <c r="A33" s="8"/>
      <c r="B33" s="7"/>
      <c r="C33" s="7"/>
      <c r="D33" s="7"/>
      <c r="E33" s="7"/>
      <c r="F33" s="7"/>
      <c r="G33" s="7"/>
      <c r="H33" s="16" t="str">
        <f>IF($A33="","",$A33+3)</f>
        <v/>
      </c>
      <c r="I33" s="16" t="str">
        <f>IF($A33="","",$A33+7)</f>
        <v/>
      </c>
      <c r="J33" s="7"/>
    </row>
    <row r="34">
      <c r="A34" s="8"/>
      <c r="B34" s="7"/>
      <c r="C34" s="7"/>
      <c r="D34" s="7"/>
      <c r="E34" s="7"/>
      <c r="F34" s="7"/>
      <c r="G34" s="7"/>
      <c r="H34" s="16" t="str">
        <f>IF($A34="","",$A34+3)</f>
        <v/>
      </c>
      <c r="I34" s="16" t="str">
        <f>IF($A34="","",$A34+7)</f>
        <v/>
      </c>
      <c r="J34" s="7"/>
    </row>
    <row r="35">
      <c r="A35" s="8"/>
      <c r="B35" s="7"/>
      <c r="C35" s="7"/>
      <c r="D35" s="7"/>
      <c r="E35" s="7"/>
      <c r="F35" s="7"/>
      <c r="G35" s="7"/>
      <c r="H35" s="16" t="str">
        <f>IF($A35="","",$A35+3)</f>
        <v/>
      </c>
      <c r="I35" s="16" t="str">
        <f>IF($A35="","",$A35+7)</f>
        <v/>
      </c>
      <c r="J35" s="7"/>
    </row>
    <row r="36">
      <c r="A36" s="8"/>
      <c r="B36" s="7"/>
      <c r="C36" s="7"/>
      <c r="D36" s="7"/>
      <c r="E36" s="7"/>
      <c r="F36" s="7"/>
      <c r="G36" s="7"/>
      <c r="H36" s="16" t="str">
        <f>IF($A36="","",$A36+3)</f>
        <v/>
      </c>
      <c r="I36" s="16" t="str">
        <f>IF($A36="","",$A36+7)</f>
        <v/>
      </c>
      <c r="J36" s="7"/>
    </row>
    <row r="37">
      <c r="A37" s="8"/>
      <c r="B37" s="7"/>
      <c r="C37" s="7"/>
      <c r="D37" s="7"/>
      <c r="E37" s="7"/>
      <c r="F37" s="7"/>
      <c r="G37" s="7"/>
      <c r="H37" s="16" t="str">
        <f>IF($A37="","",$A37+3)</f>
        <v/>
      </c>
      <c r="I37" s="16" t="str">
        <f>IF($A37="","",$A37+7)</f>
        <v/>
      </c>
      <c r="J37" s="7"/>
    </row>
    <row r="38">
      <c r="A38" s="8"/>
      <c r="B38" s="7"/>
      <c r="C38" s="7"/>
      <c r="D38" s="7"/>
      <c r="E38" s="7"/>
      <c r="F38" s="7"/>
      <c r="G38" s="7"/>
      <c r="H38" s="16" t="str">
        <f>IF($A38="","",$A38+3)</f>
        <v/>
      </c>
      <c r="I38" s="16" t="str">
        <f>IF($A38="","",$A38+7)</f>
        <v/>
      </c>
      <c r="J38" s="7"/>
    </row>
    <row r="39">
      <c r="A39" s="8"/>
      <c r="B39" s="7"/>
      <c r="C39" s="7"/>
      <c r="D39" s="7"/>
      <c r="E39" s="7"/>
      <c r="F39" s="7"/>
      <c r="G39" s="7"/>
      <c r="H39" s="16" t="str">
        <f>IF($A39="","",$A39+3)</f>
        <v/>
      </c>
      <c r="I39" s="16" t="str">
        <f>IF($A39="","",$A39+7)</f>
        <v/>
      </c>
      <c r="J39" s="7"/>
    </row>
    <row r="40">
      <c r="A40" s="8"/>
      <c r="B40" s="7"/>
      <c r="C40" s="7"/>
      <c r="D40" s="7"/>
      <c r="E40" s="7"/>
      <c r="F40" s="7"/>
      <c r="G40" s="7"/>
      <c r="H40" s="16" t="str">
        <f>IF($A40="","",$A40+3)</f>
        <v/>
      </c>
      <c r="I40" s="16" t="str">
        <f>IF($A40="","",$A40+7)</f>
        <v/>
      </c>
      <c r="J40" s="7"/>
    </row>
    <row r="41">
      <c r="A41" s="8"/>
      <c r="B41" s="7"/>
      <c r="C41" s="7"/>
      <c r="D41" s="7"/>
      <c r="E41" s="7"/>
      <c r="F41" s="7"/>
      <c r="G41" s="7"/>
      <c r="H41" s="16" t="str">
        <f>IF($A41="","",$A41+3)</f>
        <v/>
      </c>
      <c r="I41" s="16" t="str">
        <f>IF($A41="","",$A41+7)</f>
        <v/>
      </c>
      <c r="J41" s="7"/>
    </row>
    <row r="42">
      <c r="A42" s="8"/>
      <c r="B42" s="7"/>
      <c r="C42" s="7"/>
      <c r="D42" s="7"/>
      <c r="E42" s="7"/>
      <c r="F42" s="7"/>
      <c r="G42" s="7"/>
      <c r="H42" s="16" t="str">
        <f>IF($A42="","",$A42+3)</f>
        <v/>
      </c>
      <c r="I42" s="16" t="str">
        <f>IF($A42="","",$A42+7)</f>
        <v/>
      </c>
      <c r="J42" s="7"/>
    </row>
    <row r="43">
      <c r="A43" s="8"/>
      <c r="B43" s="7"/>
      <c r="C43" s="7"/>
      <c r="D43" s="7"/>
      <c r="E43" s="7"/>
      <c r="F43" s="7"/>
      <c r="G43" s="7"/>
      <c r="H43" s="16" t="str">
        <f>IF($A43="","",$A43+3)</f>
        <v/>
      </c>
      <c r="I43" s="16" t="str">
        <f>IF($A43="","",$A43+7)</f>
        <v/>
      </c>
      <c r="J43" s="7"/>
    </row>
    <row r="44">
      <c r="A44" s="8"/>
      <c r="B44" s="7"/>
      <c r="C44" s="7"/>
      <c r="D44" s="7"/>
      <c r="E44" s="7"/>
      <c r="F44" s="7"/>
      <c r="G44" s="7"/>
      <c r="H44" s="16" t="str">
        <f>IF($A44="","",$A44+3)</f>
        <v/>
      </c>
      <c r="I44" s="16" t="str">
        <f>IF($A44="","",$A44+7)</f>
        <v/>
      </c>
      <c r="J44" s="7"/>
    </row>
    <row r="45">
      <c r="A45" s="8"/>
      <c r="B45" s="7"/>
      <c r="C45" s="7"/>
      <c r="D45" s="7"/>
      <c r="E45" s="7"/>
      <c r="F45" s="7"/>
      <c r="G45" s="7"/>
      <c r="H45" s="16" t="str">
        <f>IF($A45="","",$A45+3)</f>
        <v/>
      </c>
      <c r="I45" s="16" t="str">
        <f>IF($A45="","",$A45+7)</f>
        <v/>
      </c>
      <c r="J45" s="7"/>
    </row>
    <row r="46">
      <c r="A46" s="8"/>
      <c r="B46" s="7"/>
      <c r="C46" s="7"/>
      <c r="D46" s="7"/>
      <c r="E46" s="7"/>
      <c r="F46" s="7"/>
      <c r="G46" s="7"/>
      <c r="H46" s="16" t="str">
        <f>IF($A46="","",$A46+3)</f>
        <v/>
      </c>
      <c r="I46" s="16" t="str">
        <f>IF($A46="","",$A46+7)</f>
        <v/>
      </c>
      <c r="J46" s="7"/>
    </row>
    <row r="47">
      <c r="A47" s="8"/>
      <c r="B47" s="7"/>
      <c r="C47" s="7"/>
      <c r="D47" s="7"/>
      <c r="E47" s="7"/>
      <c r="F47" s="7"/>
      <c r="G47" s="7"/>
      <c r="H47" s="16" t="str">
        <f>IF($A47="","",$A47+3)</f>
        <v/>
      </c>
      <c r="I47" s="16" t="str">
        <f>IF($A47="","",$A47+7)</f>
        <v/>
      </c>
      <c r="J47" s="7"/>
    </row>
    <row r="48">
      <c r="A48" s="8"/>
      <c r="B48" s="7"/>
      <c r="C48" s="7"/>
      <c r="D48" s="7"/>
      <c r="E48" s="7"/>
      <c r="F48" s="7"/>
      <c r="G48" s="7"/>
      <c r="H48" s="16" t="str">
        <f>IF($A48="","",$A48+3)</f>
        <v/>
      </c>
      <c r="I48" s="16" t="str">
        <f>IF($A48="","",$A48+7)</f>
        <v/>
      </c>
      <c r="J48" s="7"/>
    </row>
    <row r="49">
      <c r="A49" s="8"/>
      <c r="B49" s="7"/>
      <c r="C49" s="7"/>
      <c r="D49" s="7"/>
      <c r="E49" s="7"/>
      <c r="F49" s="7"/>
      <c r="G49" s="7"/>
      <c r="H49" s="16" t="str">
        <f>IF($A49="","",$A49+3)</f>
        <v/>
      </c>
      <c r="I49" s="16" t="str">
        <f>IF($A49="","",$A49+7)</f>
        <v/>
      </c>
      <c r="J49" s="7"/>
    </row>
    <row r="50">
      <c r="A50" s="8"/>
      <c r="B50" s="7"/>
      <c r="C50" s="7"/>
      <c r="D50" s="7"/>
      <c r="E50" s="7"/>
      <c r="F50" s="7"/>
      <c r="G50" s="7"/>
      <c r="H50" s="16" t="str">
        <f>IF($A50="","",$A50+3)</f>
        <v/>
      </c>
      <c r="I50" s="16" t="str">
        <f>IF($A50="","",$A50+7)</f>
        <v/>
      </c>
      <c r="J50" s="7"/>
    </row>
    <row r="51">
      <c r="A51" s="8"/>
      <c r="B51" s="7"/>
      <c r="C51" s="7"/>
      <c r="D51" s="7"/>
      <c r="E51" s="7"/>
      <c r="F51" s="7"/>
      <c r="G51" s="7"/>
      <c r="H51" s="16" t="str">
        <f>IF($A51="","",$A51+3)</f>
        <v/>
      </c>
      <c r="I51" s="16" t="str">
        <f>IF($A51="","",$A51+7)</f>
        <v/>
      </c>
      <c r="J51" s="7"/>
    </row>
    <row r="52">
      <c r="A52" s="8"/>
      <c r="B52" s="7"/>
      <c r="C52" s="7"/>
      <c r="D52" s="7"/>
      <c r="E52" s="7"/>
      <c r="F52" s="7"/>
      <c r="G52" s="7"/>
      <c r="H52" s="16" t="str">
        <f>IF($A52="","",$A52+3)</f>
        <v/>
      </c>
      <c r="I52" s="16" t="str">
        <f>IF($A52="","",$A52+7)</f>
        <v/>
      </c>
      <c r="J52" s="7"/>
    </row>
    <row r="53">
      <c r="A53" s="8"/>
      <c r="B53" s="7"/>
      <c r="C53" s="7"/>
      <c r="D53" s="7"/>
      <c r="E53" s="7"/>
      <c r="F53" s="7"/>
      <c r="G53" s="7"/>
      <c r="H53" s="16" t="str">
        <f>IF($A53="","",$A53+3)</f>
        <v/>
      </c>
      <c r="I53" s="16" t="str">
        <f>IF($A53="","",$A53+7)</f>
        <v/>
      </c>
      <c r="J53" s="7"/>
    </row>
    <row r="54">
      <c r="A54" s="8"/>
      <c r="B54" s="7"/>
      <c r="C54" s="7"/>
      <c r="D54" s="7"/>
      <c r="E54" s="7"/>
      <c r="F54" s="7"/>
      <c r="G54" s="7"/>
      <c r="H54" s="16" t="str">
        <f>IF($A54="","",$A54+3)</f>
        <v/>
      </c>
      <c r="I54" s="16" t="str">
        <f>IF($A54="","",$A54+7)</f>
        <v/>
      </c>
      <c r="J54" s="7"/>
    </row>
    <row r="55">
      <c r="A55" s="8"/>
      <c r="B55" s="7"/>
      <c r="C55" s="7"/>
      <c r="D55" s="7"/>
      <c r="E55" s="7"/>
      <c r="F55" s="7"/>
      <c r="G55" s="7"/>
      <c r="H55" s="16" t="str">
        <f>IF($A55="","",$A55+3)</f>
        <v/>
      </c>
      <c r="I55" s="16" t="str">
        <f>IF($A55="","",$A55+7)</f>
        <v/>
      </c>
      <c r="J55" s="7"/>
    </row>
    <row r="56">
      <c r="A56" s="8"/>
      <c r="B56" s="7"/>
      <c r="C56" s="7"/>
      <c r="D56" s="7"/>
      <c r="E56" s="7"/>
      <c r="F56" s="7"/>
      <c r="G56" s="7"/>
      <c r="H56" s="16" t="str">
        <f>IF($A56="","",$A56+3)</f>
        <v/>
      </c>
      <c r="I56" s="16" t="str">
        <f>IF($A56="","",$A56+7)</f>
        <v/>
      </c>
      <c r="J56" s="7"/>
    </row>
    <row r="57">
      <c r="A57" s="8"/>
      <c r="B57" s="7"/>
      <c r="C57" s="7"/>
      <c r="D57" s="7"/>
      <c r="E57" s="7"/>
      <c r="F57" s="7"/>
      <c r="G57" s="7"/>
      <c r="H57" s="16" t="str">
        <f>IF($A57="","",$A57+3)</f>
        <v/>
      </c>
      <c r="I57" s="16" t="str">
        <f>IF($A57="","",$A57+7)</f>
        <v/>
      </c>
      <c r="J57" s="7"/>
    </row>
    <row r="58">
      <c r="A58" s="8"/>
      <c r="B58" s="7"/>
      <c r="C58" s="7"/>
      <c r="D58" s="7"/>
      <c r="E58" s="7"/>
      <c r="F58" s="7"/>
      <c r="G58" s="7"/>
      <c r="H58" s="16" t="str">
        <f>IF($A58="","",$A58+3)</f>
        <v/>
      </c>
      <c r="I58" s="16" t="str">
        <f>IF($A58="","",$A58+7)</f>
        <v/>
      </c>
      <c r="J58" s="7"/>
    </row>
    <row r="59">
      <c r="A59" s="8"/>
      <c r="B59" s="7"/>
      <c r="C59" s="7"/>
      <c r="D59" s="7"/>
      <c r="E59" s="7"/>
      <c r="F59" s="7"/>
      <c r="G59" s="7"/>
      <c r="H59" s="16" t="str">
        <f>IF($A59="","",$A59+3)</f>
        <v/>
      </c>
      <c r="I59" s="16" t="str">
        <f>IF($A59="","",$A59+7)</f>
        <v/>
      </c>
      <c r="J59" s="7"/>
    </row>
    <row r="60">
      <c r="A60" s="8"/>
      <c r="B60" s="7"/>
      <c r="C60" s="7"/>
      <c r="D60" s="7"/>
      <c r="E60" s="7"/>
      <c r="F60" s="7"/>
      <c r="G60" s="7"/>
      <c r="H60" s="16" t="str">
        <f>IF($A60="","",$A60+3)</f>
        <v/>
      </c>
      <c r="I60" s="16" t="str">
        <f>IF($A60="","",$A60+7)</f>
        <v/>
      </c>
      <c r="J60" s="7"/>
    </row>
    <row r="61">
      <c r="A61" s="8"/>
      <c r="B61" s="7"/>
      <c r="C61" s="7"/>
      <c r="D61" s="7"/>
      <c r="E61" s="7"/>
      <c r="F61" s="7"/>
      <c r="G61" s="7"/>
      <c r="H61" s="16" t="str">
        <f>IF($A61="","",$A61+3)</f>
        <v/>
      </c>
      <c r="I61" s="16" t="str">
        <f>IF($A61="","",$A61+7)</f>
        <v/>
      </c>
      <c r="J61" s="7"/>
    </row>
    <row r="62">
      <c r="A62" s="8"/>
      <c r="B62" s="7"/>
      <c r="C62" s="7"/>
      <c r="D62" s="7"/>
      <c r="E62" s="7"/>
      <c r="F62" s="7"/>
      <c r="G62" s="7"/>
      <c r="H62" s="16" t="str">
        <f>IF($A62="","",$A62+3)</f>
        <v/>
      </c>
      <c r="I62" s="16" t="str">
        <f>IF($A62="","",$A62+7)</f>
        <v/>
      </c>
      <c r="J62" s="7"/>
    </row>
    <row r="63">
      <c r="A63" s="8"/>
      <c r="B63" s="7"/>
      <c r="C63" s="7"/>
      <c r="D63" s="7"/>
      <c r="E63" s="7"/>
      <c r="F63" s="7"/>
      <c r="G63" s="7"/>
      <c r="H63" s="16" t="str">
        <f>IF($A63="","",$A63+3)</f>
        <v/>
      </c>
      <c r="I63" s="16" t="str">
        <f>IF($A63="","",$A63+7)</f>
        <v/>
      </c>
      <c r="J63" s="7"/>
    </row>
    <row r="64">
      <c r="A64" s="8"/>
      <c r="B64" s="7"/>
      <c r="C64" s="7"/>
      <c r="D64" s="7"/>
      <c r="E64" s="7"/>
      <c r="F64" s="7"/>
      <c r="G64" s="7"/>
      <c r="H64" s="16" t="str">
        <f>IF($A64="","",$A64+3)</f>
        <v/>
      </c>
      <c r="I64" s="16" t="str">
        <f>IF($A64="","",$A64+7)</f>
        <v/>
      </c>
      <c r="J64" s="7"/>
    </row>
    <row r="65">
      <c r="A65" s="8"/>
      <c r="B65" s="7"/>
      <c r="C65" s="7"/>
      <c r="D65" s="7"/>
      <c r="E65" s="7"/>
      <c r="F65" s="7"/>
      <c r="G65" s="7"/>
      <c r="H65" s="16" t="str">
        <f>IF($A65="","",$A65+3)</f>
        <v/>
      </c>
      <c r="I65" s="16" t="str">
        <f>IF($A65="","",$A65+7)</f>
        <v/>
      </c>
      <c r="J65" s="7"/>
    </row>
    <row r="66">
      <c r="A66" s="8"/>
      <c r="B66" s="7"/>
      <c r="C66" s="7"/>
      <c r="D66" s="7"/>
      <c r="E66" s="7"/>
      <c r="F66" s="7"/>
      <c r="G66" s="7"/>
      <c r="H66" s="16" t="str">
        <f>IF($A66="","",$A66+3)</f>
        <v/>
      </c>
      <c r="I66" s="16" t="str">
        <f>IF($A66="","",$A66+7)</f>
        <v/>
      </c>
      <c r="J66" s="7"/>
    </row>
    <row r="67">
      <c r="A67" s="8"/>
      <c r="B67" s="7"/>
      <c r="C67" s="7"/>
      <c r="D67" s="7"/>
      <c r="E67" s="7"/>
      <c r="F67" s="7"/>
      <c r="G67" s="7"/>
      <c r="H67" s="16" t="str">
        <f>IF($A67="","",$A67+3)</f>
        <v/>
      </c>
      <c r="I67" s="16" t="str">
        <f>IF($A67="","",$A67+7)</f>
        <v/>
      </c>
      <c r="J67" s="7"/>
    </row>
    <row r="68">
      <c r="A68" s="8"/>
      <c r="B68" s="7"/>
      <c r="C68" s="7"/>
      <c r="D68" s="7"/>
      <c r="E68" s="7"/>
      <c r="F68" s="7"/>
      <c r="G68" s="7"/>
      <c r="H68" s="16" t="str">
        <f>IF($A68="","",$A68+3)</f>
        <v/>
      </c>
      <c r="I68" s="16" t="str">
        <f>IF($A68="","",$A68+7)</f>
        <v/>
      </c>
      <c r="J68" s="7"/>
    </row>
    <row r="69">
      <c r="A69" s="8"/>
      <c r="B69" s="7"/>
      <c r="C69" s="7"/>
      <c r="D69" s="7"/>
      <c r="E69" s="7"/>
      <c r="F69" s="7"/>
      <c r="G69" s="7"/>
      <c r="H69" s="16" t="str">
        <f>IF($A69="","",$A69+3)</f>
        <v/>
      </c>
      <c r="I69" s="16" t="str">
        <f>IF($A69="","",$A69+7)</f>
        <v/>
      </c>
      <c r="J69" s="7"/>
    </row>
    <row r="70">
      <c r="A70" s="8"/>
      <c r="B70" s="7"/>
      <c r="C70" s="7"/>
      <c r="D70" s="7"/>
      <c r="E70" s="7"/>
      <c r="F70" s="7"/>
      <c r="G70" s="7"/>
      <c r="H70" s="16" t="str">
        <f>IF($A70="","",$A70+3)</f>
        <v/>
      </c>
      <c r="I70" s="16" t="str">
        <f>IF($A70="","",$A70+7)</f>
        <v/>
      </c>
      <c r="J70" s="7"/>
    </row>
    <row r="71">
      <c r="A71" s="8"/>
      <c r="B71" s="7"/>
      <c r="C71" s="7"/>
      <c r="D71" s="7"/>
      <c r="E71" s="7"/>
      <c r="F71" s="7"/>
      <c r="G71" s="7"/>
      <c r="H71" s="16" t="str">
        <f>IF($A71="","",$A71+3)</f>
        <v/>
      </c>
      <c r="I71" s="16" t="str">
        <f>IF($A71="","",$A71+7)</f>
        <v/>
      </c>
      <c r="J71" s="7"/>
    </row>
    <row r="72">
      <c r="A72" s="8"/>
      <c r="B72" s="7"/>
      <c r="C72" s="7"/>
      <c r="D72" s="7"/>
      <c r="E72" s="7"/>
      <c r="F72" s="7"/>
      <c r="G72" s="7"/>
      <c r="H72" s="16" t="str">
        <f>IF($A72="","",$A72+3)</f>
        <v/>
      </c>
      <c r="I72" s="16" t="str">
        <f>IF($A72="","",$A72+7)</f>
        <v/>
      </c>
      <c r="J72" s="7"/>
    </row>
    <row r="73">
      <c r="A73" s="8"/>
      <c r="B73" s="7"/>
      <c r="C73" s="7"/>
      <c r="D73" s="7"/>
      <c r="E73" s="7"/>
      <c r="F73" s="7"/>
      <c r="G73" s="7"/>
      <c r="H73" s="16" t="str">
        <f>IF($A73="","",$A73+3)</f>
        <v/>
      </c>
      <c r="I73" s="16" t="str">
        <f>IF($A73="","",$A73+7)</f>
        <v/>
      </c>
      <c r="J73" s="7"/>
    </row>
    <row r="74">
      <c r="A74" s="8"/>
      <c r="B74" s="7"/>
      <c r="C74" s="7"/>
      <c r="D74" s="7"/>
      <c r="E74" s="7"/>
      <c r="F74" s="7"/>
      <c r="G74" s="7"/>
      <c r="H74" s="16" t="str">
        <f>IF($A74="","",$A74+3)</f>
        <v/>
      </c>
      <c r="I74" s="16" t="str">
        <f>IF($A74="","",$A74+7)</f>
        <v/>
      </c>
      <c r="J74" s="7"/>
    </row>
    <row r="75">
      <c r="A75" s="8"/>
      <c r="B75" s="7"/>
      <c r="C75" s="7"/>
      <c r="D75" s="7"/>
      <c r="E75" s="7"/>
      <c r="F75" s="7"/>
      <c r="G75" s="7"/>
      <c r="H75" s="16" t="str">
        <f>IF($A75="","",$A75+3)</f>
        <v/>
      </c>
      <c r="I75" s="16" t="str">
        <f>IF($A75="","",$A75+7)</f>
        <v/>
      </c>
      <c r="J75" s="7"/>
    </row>
    <row r="76">
      <c r="A76" s="8"/>
      <c r="B76" s="7"/>
      <c r="C76" s="7"/>
      <c r="D76" s="7"/>
      <c r="E76" s="7"/>
      <c r="F76" s="7"/>
      <c r="G76" s="7"/>
      <c r="H76" s="16" t="str">
        <f>IF($A76="","",$A76+3)</f>
        <v/>
      </c>
      <c r="I76" s="16" t="str">
        <f>IF($A76="","",$A76+7)</f>
        <v/>
      </c>
      <c r="J76" s="7"/>
    </row>
    <row r="77">
      <c r="A77" s="8"/>
      <c r="B77" s="7"/>
      <c r="C77" s="7"/>
      <c r="D77" s="7"/>
      <c r="E77" s="7"/>
      <c r="F77" s="7"/>
      <c r="G77" s="7"/>
      <c r="H77" s="16" t="str">
        <f>IF($A77="","",$A77+3)</f>
        <v/>
      </c>
      <c r="I77" s="16" t="str">
        <f>IF($A77="","",$A77+7)</f>
        <v/>
      </c>
      <c r="J77" s="7"/>
    </row>
    <row r="78">
      <c r="A78" s="8"/>
      <c r="B78" s="7"/>
      <c r="C78" s="7"/>
      <c r="D78" s="7"/>
      <c r="E78" s="7"/>
      <c r="F78" s="7"/>
      <c r="G78" s="7"/>
      <c r="H78" s="16" t="str">
        <f>IF($A78="","",$A78+3)</f>
        <v/>
      </c>
      <c r="I78" s="16" t="str">
        <f>IF($A78="","",$A78+7)</f>
        <v/>
      </c>
      <c r="J78" s="7"/>
    </row>
    <row r="79">
      <c r="A79" s="8"/>
      <c r="B79" s="7"/>
      <c r="C79" s="7"/>
      <c r="D79" s="7"/>
      <c r="E79" s="7"/>
      <c r="F79" s="7"/>
      <c r="G79" s="7"/>
      <c r="H79" s="16" t="str">
        <f>IF($A79="","",$A79+3)</f>
        <v/>
      </c>
      <c r="I79" s="16" t="str">
        <f>IF($A79="","",$A79+7)</f>
        <v/>
      </c>
      <c r="J79" s="7"/>
    </row>
    <row r="80">
      <c r="A80" s="8"/>
      <c r="B80" s="7"/>
      <c r="C80" s="7"/>
      <c r="D80" s="7"/>
      <c r="E80" s="7"/>
      <c r="F80" s="7"/>
      <c r="G80" s="7"/>
      <c r="H80" s="16" t="str">
        <f>IF($A80="","",$A80+3)</f>
        <v/>
      </c>
      <c r="I80" s="16" t="str">
        <f>IF($A80="","",$A80+7)</f>
        <v/>
      </c>
      <c r="J80" s="7"/>
    </row>
    <row r="81">
      <c r="A81" s="8"/>
      <c r="B81" s="7"/>
      <c r="C81" s="7"/>
      <c r="D81" s="7"/>
      <c r="E81" s="7"/>
      <c r="F81" s="7"/>
      <c r="G81" s="7"/>
      <c r="H81" s="16" t="str">
        <f>IF($A81="","",$A81+3)</f>
        <v/>
      </c>
      <c r="I81" s="16" t="str">
        <f>IF($A81="","",$A81+7)</f>
        <v/>
      </c>
      <c r="J81" s="7"/>
    </row>
    <row r="82">
      <c r="A82" s="8"/>
      <c r="B82" s="7"/>
      <c r="C82" s="7"/>
      <c r="D82" s="7"/>
      <c r="E82" s="7"/>
      <c r="F82" s="7"/>
      <c r="G82" s="7"/>
      <c r="H82" s="16" t="str">
        <f>IF($A82="","",$A82+3)</f>
        <v/>
      </c>
      <c r="I82" s="16" t="str">
        <f>IF($A82="","",$A82+7)</f>
        <v/>
      </c>
      <c r="J82" s="7"/>
    </row>
    <row r="83">
      <c r="A83" s="8"/>
      <c r="B83" s="7"/>
      <c r="C83" s="7"/>
      <c r="D83" s="7"/>
      <c r="E83" s="7"/>
      <c r="F83" s="7"/>
      <c r="G83" s="7"/>
      <c r="H83" s="16" t="str">
        <f>IF($A83="","",$A83+3)</f>
        <v/>
      </c>
      <c r="I83" s="16" t="str">
        <f>IF($A83="","",$A83+7)</f>
        <v/>
      </c>
      <c r="J83" s="7"/>
    </row>
    <row r="84">
      <c r="A84" s="8"/>
      <c r="B84" s="7"/>
      <c r="C84" s="7"/>
      <c r="D84" s="7"/>
      <c r="E84" s="7"/>
      <c r="F84" s="7"/>
      <c r="G84" s="7"/>
      <c r="H84" s="16" t="str">
        <f>IF($A84="","",$A84+3)</f>
        <v/>
      </c>
      <c r="I84" s="16" t="str">
        <f>IF($A84="","",$A84+7)</f>
        <v/>
      </c>
      <c r="J84" s="7"/>
    </row>
    <row r="85">
      <c r="A85" s="8"/>
      <c r="B85" s="7"/>
      <c r="C85" s="7"/>
      <c r="D85" s="7"/>
      <c r="E85" s="7"/>
      <c r="F85" s="7"/>
      <c r="G85" s="7"/>
      <c r="H85" s="16" t="str">
        <f>IF($A85="","",$A85+3)</f>
        <v/>
      </c>
      <c r="I85" s="16" t="str">
        <f>IF($A85="","",$A85+7)</f>
        <v/>
      </c>
      <c r="J85" s="7"/>
    </row>
    <row r="86">
      <c r="A86" s="8"/>
      <c r="B86" s="7"/>
      <c r="C86" s="7"/>
      <c r="D86" s="7"/>
      <c r="E86" s="7"/>
      <c r="F86" s="7"/>
      <c r="G86" s="7"/>
      <c r="H86" s="16" t="str">
        <f>IF($A86="","",$A86+3)</f>
        <v/>
      </c>
      <c r="I86" s="16" t="str">
        <f>IF($A86="","",$A86+7)</f>
        <v/>
      </c>
      <c r="J86" s="7"/>
    </row>
    <row r="87">
      <c r="A87" s="8"/>
      <c r="B87" s="7"/>
      <c r="C87" s="7"/>
      <c r="D87" s="7"/>
      <c r="E87" s="7"/>
      <c r="F87" s="7"/>
      <c r="G87" s="7"/>
      <c r="H87" s="16" t="str">
        <f>IF($A87="","",$A87+3)</f>
        <v/>
      </c>
      <c r="I87" s="16" t="str">
        <f>IF($A87="","",$A87+7)</f>
        <v/>
      </c>
      <c r="J87" s="7"/>
    </row>
    <row r="88">
      <c r="A88" s="8"/>
      <c r="B88" s="7"/>
      <c r="C88" s="7"/>
      <c r="D88" s="7"/>
      <c r="E88" s="7"/>
      <c r="F88" s="7"/>
      <c r="G88" s="7"/>
      <c r="H88" s="16" t="str">
        <f>IF($A88="","",$A88+3)</f>
        <v/>
      </c>
      <c r="I88" s="16" t="str">
        <f>IF($A88="","",$A88+7)</f>
        <v/>
      </c>
      <c r="J88" s="7"/>
    </row>
    <row r="89">
      <c r="A89" s="8"/>
      <c r="B89" s="7"/>
      <c r="C89" s="7"/>
      <c r="D89" s="7"/>
      <c r="E89" s="7"/>
      <c r="F89" s="7"/>
      <c r="G89" s="7"/>
      <c r="H89" s="16" t="str">
        <f>IF($A89="","",$A89+3)</f>
        <v/>
      </c>
      <c r="I89" s="16" t="str">
        <f>IF($A89="","",$A89+7)</f>
        <v/>
      </c>
      <c r="J89" s="7"/>
    </row>
    <row r="90">
      <c r="A90" s="8"/>
      <c r="B90" s="7"/>
      <c r="C90" s="7"/>
      <c r="D90" s="7"/>
      <c r="E90" s="7"/>
      <c r="F90" s="7"/>
      <c r="G90" s="7"/>
      <c r="H90" s="16" t="str">
        <f>IF($A90="","",$A90+3)</f>
        <v/>
      </c>
      <c r="I90" s="16" t="str">
        <f>IF($A90="","",$A90+7)</f>
        <v/>
      </c>
      <c r="J90" s="7"/>
    </row>
    <row r="91">
      <c r="A91" s="8"/>
      <c r="B91" s="7"/>
      <c r="C91" s="7"/>
      <c r="D91" s="7"/>
      <c r="E91" s="7"/>
      <c r="F91" s="7"/>
      <c r="G91" s="7"/>
      <c r="H91" s="16" t="str">
        <f>IF($A91="","",$A91+3)</f>
        <v/>
      </c>
      <c r="I91" s="16" t="str">
        <f>IF($A91="","",$A91+7)</f>
        <v/>
      </c>
      <c r="J91" s="7"/>
    </row>
    <row r="92">
      <c r="A92" s="8"/>
      <c r="B92" s="7"/>
      <c r="C92" s="7"/>
      <c r="D92" s="7"/>
      <c r="E92" s="7"/>
      <c r="F92" s="7"/>
      <c r="G92" s="7"/>
      <c r="H92" s="16" t="str">
        <f>IF($A92="","",$A92+3)</f>
        <v/>
      </c>
      <c r="I92" s="16" t="str">
        <f>IF($A92="","",$A92+7)</f>
        <v/>
      </c>
      <c r="J92" s="7"/>
    </row>
    <row r="93">
      <c r="A93" s="8"/>
      <c r="B93" s="7"/>
      <c r="C93" s="7"/>
      <c r="D93" s="7"/>
      <c r="E93" s="7"/>
      <c r="F93" s="7"/>
      <c r="G93" s="7"/>
      <c r="H93" s="16" t="str">
        <f>IF($A93="","",$A93+3)</f>
        <v/>
      </c>
      <c r="I93" s="16" t="str">
        <f>IF($A93="","",$A93+7)</f>
        <v/>
      </c>
      <c r="J93" s="7"/>
    </row>
    <row r="94">
      <c r="A94" s="8"/>
      <c r="B94" s="7"/>
      <c r="C94" s="7"/>
      <c r="D94" s="7"/>
      <c r="E94" s="7"/>
      <c r="F94" s="7"/>
      <c r="G94" s="7"/>
      <c r="H94" s="16" t="str">
        <f>IF($A94="","",$A94+3)</f>
        <v/>
      </c>
      <c r="I94" s="16" t="str">
        <f>IF($A94="","",$A94+7)</f>
        <v/>
      </c>
      <c r="J94" s="7"/>
    </row>
    <row r="95">
      <c r="A95" s="8"/>
      <c r="B95" s="7"/>
      <c r="C95" s="7"/>
      <c r="D95" s="7"/>
      <c r="E95" s="7"/>
      <c r="F95" s="7"/>
      <c r="G95" s="7"/>
      <c r="H95" s="16" t="str">
        <f>IF($A95="","",$A95+3)</f>
        <v/>
      </c>
      <c r="I95" s="16" t="str">
        <f>IF($A95="","",$A95+7)</f>
        <v/>
      </c>
      <c r="J95" s="7"/>
    </row>
    <row r="96">
      <c r="A96" s="8"/>
      <c r="B96" s="7"/>
      <c r="C96" s="7"/>
      <c r="D96" s="7"/>
      <c r="E96" s="7"/>
      <c r="F96" s="7"/>
      <c r="G96" s="7"/>
      <c r="H96" s="16" t="str">
        <f>IF($A96="","",$A96+3)</f>
        <v/>
      </c>
      <c r="I96" s="16" t="str">
        <f>IF($A96="","",$A96+7)</f>
        <v/>
      </c>
      <c r="J96" s="7"/>
    </row>
    <row r="97">
      <c r="A97" s="8"/>
      <c r="B97" s="7"/>
      <c r="C97" s="7"/>
      <c r="D97" s="7"/>
      <c r="E97" s="7"/>
      <c r="F97" s="7"/>
      <c r="G97" s="7"/>
      <c r="H97" s="16" t="str">
        <f>IF($A97="","",$A97+3)</f>
        <v/>
      </c>
      <c r="I97" s="16" t="str">
        <f>IF($A97="","",$A97+7)</f>
        <v/>
      </c>
      <c r="J97" s="7"/>
    </row>
    <row r="98">
      <c r="A98" s="8"/>
      <c r="B98" s="7"/>
      <c r="C98" s="7"/>
      <c r="D98" s="7"/>
      <c r="E98" s="7"/>
      <c r="F98" s="7"/>
      <c r="G98" s="7"/>
      <c r="H98" s="16" t="str">
        <f>IF($A98="","",$A98+3)</f>
        <v/>
      </c>
      <c r="I98" s="16" t="str">
        <f>IF($A98="","",$A98+7)</f>
        <v/>
      </c>
      <c r="J98" s="7"/>
    </row>
    <row r="99">
      <c r="A99" s="8"/>
      <c r="B99" s="7"/>
      <c r="C99" s="7"/>
      <c r="D99" s="7"/>
      <c r="E99" s="7"/>
      <c r="F99" s="7"/>
      <c r="G99" s="7"/>
      <c r="H99" s="16" t="str">
        <f>IF($A99="","",$A99+3)</f>
        <v/>
      </c>
      <c r="I99" s="16" t="str">
        <f>IF($A99="","",$A99+7)</f>
        <v/>
      </c>
      <c r="J99" s="7"/>
    </row>
    <row r="100">
      <c r="A100" s="8"/>
      <c r="B100" s="7"/>
      <c r="C100" s="7"/>
      <c r="D100" s="7"/>
      <c r="E100" s="7"/>
      <c r="F100" s="7"/>
      <c r="G100" s="7"/>
      <c r="H100" s="16" t="str">
        <f>IF($A100="","",$A100+3)</f>
        <v/>
      </c>
      <c r="I100" s="16" t="str">
        <f>IF($A100="","",$A100+7)</f>
        <v/>
      </c>
      <c r="J100" s="7"/>
    </row>
    <row r="101">
      <c r="A101" s="8"/>
      <c r="B101" s="7"/>
      <c r="C101" s="7"/>
      <c r="D101" s="7"/>
      <c r="E101" s="7"/>
      <c r="F101" s="7"/>
      <c r="G101" s="7"/>
      <c r="H101" s="16" t="str">
        <f>IF($A101="","",$A101+3)</f>
        <v/>
      </c>
      <c r="I101" s="16" t="str">
        <f>IF($A101="","",$A101+7)</f>
        <v/>
      </c>
      <c r="J101" s="7"/>
    </row>
    <row r="102">
      <c r="A102" s="8"/>
      <c r="B102" s="7"/>
      <c r="C102" s="7"/>
      <c r="D102" s="7"/>
      <c r="E102" s="7"/>
      <c r="F102" s="7"/>
      <c r="G102" s="7"/>
      <c r="H102" s="16" t="str">
        <f>IF($A102="","",$A102+3)</f>
        <v/>
      </c>
      <c r="I102" s="16" t="str">
        <f>IF($A102="","",$A102+7)</f>
        <v/>
      </c>
      <c r="J102" s="7"/>
    </row>
    <row r="103">
      <c r="A103" s="8"/>
      <c r="B103" s="7"/>
      <c r="C103" s="7"/>
      <c r="D103" s="7"/>
      <c r="E103" s="7"/>
      <c r="F103" s="7"/>
      <c r="G103" s="7"/>
      <c r="H103" s="16" t="str">
        <f>IF($A103="","",$A103+3)</f>
        <v/>
      </c>
      <c r="I103" s="16" t="str">
        <f>IF($A103="","",$A103+7)</f>
        <v/>
      </c>
      <c r="J103" s="7"/>
    </row>
    <row r="104">
      <c r="A104" s="8"/>
      <c r="B104" s="7"/>
      <c r="C104" s="7"/>
      <c r="D104" s="7"/>
      <c r="E104" s="7"/>
      <c r="F104" s="7"/>
      <c r="G104" s="7"/>
      <c r="H104" s="16" t="str">
        <f>IF($A104="","",$A104+3)</f>
        <v/>
      </c>
      <c r="I104" s="16" t="str">
        <f>IF($A104="","",$A104+7)</f>
        <v/>
      </c>
      <c r="J104" s="7"/>
    </row>
    <row r="105">
      <c r="A105" s="8"/>
      <c r="B105" s="7"/>
      <c r="C105" s="7"/>
      <c r="D105" s="7"/>
      <c r="E105" s="7"/>
      <c r="F105" s="7"/>
      <c r="G105" s="7"/>
      <c r="H105" s="16" t="str">
        <f>IF($A105="","",$A105+3)</f>
        <v/>
      </c>
      <c r="I105" s="16" t="str">
        <f>IF($A105="","",$A105+7)</f>
        <v/>
      </c>
      <c r="J105" s="7"/>
    </row>
    <row r="106">
      <c r="A106" s="8"/>
      <c r="B106" s="7"/>
      <c r="C106" s="7"/>
      <c r="D106" s="7"/>
      <c r="E106" s="7"/>
      <c r="F106" s="7"/>
      <c r="G106" s="7"/>
      <c r="H106" s="16" t="str">
        <f>IF($A106="","",$A106+3)</f>
        <v/>
      </c>
      <c r="I106" s="16" t="str">
        <f>IF($A106="","",$A106+7)</f>
        <v/>
      </c>
      <c r="J106" s="7"/>
    </row>
    <row r="107">
      <c r="A107" s="8"/>
      <c r="B107" s="7"/>
      <c r="C107" s="7"/>
      <c r="D107" s="7"/>
      <c r="E107" s="7"/>
      <c r="F107" s="7"/>
      <c r="G107" s="7"/>
      <c r="H107" s="16" t="str">
        <f>IF($A107="","",$A107+3)</f>
        <v/>
      </c>
      <c r="I107" s="16" t="str">
        <f>IF($A107="","",$A107+7)</f>
        <v/>
      </c>
      <c r="J107" s="7"/>
    </row>
    <row r="108">
      <c r="A108" s="8"/>
      <c r="B108" s="7"/>
      <c r="C108" s="7"/>
      <c r="D108" s="7"/>
      <c r="E108" s="7"/>
      <c r="F108" s="7"/>
      <c r="G108" s="7"/>
      <c r="H108" s="16" t="str">
        <f>IF($A108="","",$A108+3)</f>
        <v/>
      </c>
      <c r="I108" s="16" t="str">
        <f>IF($A108="","",$A108+7)</f>
        <v/>
      </c>
      <c r="J108" s="7"/>
    </row>
    <row r="109">
      <c r="A109" s="8"/>
      <c r="B109" s="7"/>
      <c r="C109" s="7"/>
      <c r="D109" s="7"/>
      <c r="E109" s="7"/>
      <c r="F109" s="7"/>
      <c r="G109" s="7"/>
      <c r="H109" s="16" t="str">
        <f>IF($A109="","",$A109+3)</f>
        <v/>
      </c>
      <c r="I109" s="16" t="str">
        <f>IF($A109="","",$A109+7)</f>
        <v/>
      </c>
      <c r="J109" s="7"/>
    </row>
    <row r="110">
      <c r="A110" s="8"/>
      <c r="B110" s="7"/>
      <c r="C110" s="7"/>
      <c r="D110" s="7"/>
      <c r="E110" s="7"/>
      <c r="F110" s="7"/>
      <c r="G110" s="7"/>
      <c r="H110" s="16" t="str">
        <f>IF($A110="","",$A110+3)</f>
        <v/>
      </c>
      <c r="I110" s="16" t="str">
        <f>IF($A110="","",$A110+7)</f>
        <v/>
      </c>
      <c r="J110" s="7"/>
    </row>
    <row r="111">
      <c r="A111" s="8"/>
      <c r="B111" s="7"/>
      <c r="C111" s="7"/>
      <c r="D111" s="7"/>
      <c r="E111" s="7"/>
      <c r="F111" s="7"/>
      <c r="G111" s="7"/>
      <c r="H111" s="16" t="str">
        <f>IF($A111="","",$A111+3)</f>
        <v/>
      </c>
      <c r="I111" s="16" t="str">
        <f>IF($A111="","",$A111+7)</f>
        <v/>
      </c>
      <c r="J111" s="7"/>
    </row>
    <row r="112">
      <c r="A112" s="8"/>
      <c r="B112" s="7"/>
      <c r="C112" s="7"/>
      <c r="D112" s="7"/>
      <c r="E112" s="7"/>
      <c r="F112" s="7"/>
      <c r="G112" s="7"/>
      <c r="H112" s="16" t="str">
        <f>IF($A112="","",$A112+3)</f>
        <v/>
      </c>
      <c r="I112" s="16" t="str">
        <f>IF($A112="","",$A112+7)</f>
        <v/>
      </c>
      <c r="J112" s="7"/>
    </row>
    <row r="113">
      <c r="A113" s="8"/>
      <c r="B113" s="7"/>
      <c r="C113" s="7"/>
      <c r="D113" s="7"/>
      <c r="E113" s="7"/>
      <c r="F113" s="7"/>
      <c r="G113" s="7"/>
      <c r="H113" s="16" t="str">
        <f>IF($A113="","",$A113+3)</f>
        <v/>
      </c>
      <c r="I113" s="16" t="str">
        <f>IF($A113="","",$A113+7)</f>
        <v/>
      </c>
      <c r="J113" s="7"/>
    </row>
    <row r="114">
      <c r="A114" s="8"/>
      <c r="B114" s="7"/>
      <c r="C114" s="7"/>
      <c r="D114" s="7"/>
      <c r="E114" s="7"/>
      <c r="F114" s="7"/>
      <c r="G114" s="7"/>
      <c r="H114" s="16" t="str">
        <f>IF($A114="","",$A114+3)</f>
        <v/>
      </c>
      <c r="I114" s="16" t="str">
        <f>IF($A114="","",$A114+7)</f>
        <v/>
      </c>
      <c r="J114" s="7"/>
    </row>
    <row r="115">
      <c r="A115" s="8"/>
      <c r="B115" s="7"/>
      <c r="C115" s="7"/>
      <c r="D115" s="7"/>
      <c r="E115" s="7"/>
      <c r="F115" s="7"/>
      <c r="G115" s="7"/>
      <c r="H115" s="16" t="str">
        <f>IF($A115="","",$A115+3)</f>
        <v/>
      </c>
      <c r="I115" s="16" t="str">
        <f>IF($A115="","",$A115+7)</f>
        <v/>
      </c>
      <c r="J115" s="7"/>
    </row>
    <row r="116">
      <c r="A116" s="8"/>
      <c r="B116" s="7"/>
      <c r="C116" s="7"/>
      <c r="D116" s="7"/>
      <c r="E116" s="7"/>
      <c r="F116" s="7"/>
      <c r="G116" s="7"/>
      <c r="H116" s="16" t="str">
        <f>IF($A116="","",$A116+3)</f>
        <v/>
      </c>
      <c r="I116" s="16" t="str">
        <f>IF($A116="","",$A116+7)</f>
        <v/>
      </c>
      <c r="J116" s="7"/>
    </row>
    <row r="117">
      <c r="A117" s="8"/>
      <c r="B117" s="7"/>
      <c r="C117" s="7"/>
      <c r="D117" s="7"/>
      <c r="E117" s="7"/>
      <c r="F117" s="7"/>
      <c r="G117" s="7"/>
      <c r="H117" s="16" t="str">
        <f>IF($A117="","",$A117+3)</f>
        <v/>
      </c>
      <c r="I117" s="16" t="str">
        <f>IF($A117="","",$A117+7)</f>
        <v/>
      </c>
      <c r="J117" s="7"/>
    </row>
    <row r="118">
      <c r="A118" s="8"/>
      <c r="B118" s="7"/>
      <c r="C118" s="7"/>
      <c r="D118" s="7"/>
      <c r="E118" s="7"/>
      <c r="F118" s="7"/>
      <c r="G118" s="7"/>
      <c r="H118" s="16" t="str">
        <f>IF($A118="","",$A118+3)</f>
        <v/>
      </c>
      <c r="I118" s="16" t="str">
        <f>IF($A118="","",$A118+7)</f>
        <v/>
      </c>
      <c r="J118" s="7"/>
    </row>
    <row r="119">
      <c r="A119" s="8"/>
      <c r="B119" s="7"/>
      <c r="C119" s="7"/>
      <c r="D119" s="7"/>
      <c r="E119" s="7"/>
      <c r="F119" s="7"/>
      <c r="G119" s="7"/>
      <c r="H119" s="16" t="str">
        <f>IF($A119="","",$A119+3)</f>
        <v/>
      </c>
      <c r="I119" s="16" t="str">
        <f>IF($A119="","",$A119+7)</f>
        <v/>
      </c>
      <c r="J119" s="7"/>
    </row>
    <row r="120">
      <c r="A120" s="8"/>
      <c r="B120" s="7"/>
      <c r="C120" s="7"/>
      <c r="D120" s="7"/>
      <c r="E120" s="7"/>
      <c r="F120" s="7"/>
      <c r="G120" s="7"/>
      <c r="H120" s="16" t="str">
        <f>IF($A120="","",$A120+3)</f>
        <v/>
      </c>
      <c r="I120" s="16" t="str">
        <f>IF($A120="","",$A120+7)</f>
        <v/>
      </c>
      <c r="J120" s="7"/>
    </row>
    <row r="121">
      <c r="A121" s="8"/>
      <c r="B121" s="7"/>
      <c r="C121" s="7"/>
      <c r="D121" s="7"/>
      <c r="E121" s="7"/>
      <c r="F121" s="7"/>
      <c r="G121" s="7"/>
      <c r="H121" s="16" t="str">
        <f>IF($A121="","",$A121+3)</f>
        <v/>
      </c>
      <c r="I121" s="16" t="str">
        <f>IF($A121="","",$A121+7)</f>
        <v/>
      </c>
      <c r="J121" s="7"/>
    </row>
    <row r="122">
      <c r="A122" s="8"/>
      <c r="B122" s="7"/>
      <c r="C122" s="7"/>
      <c r="D122" s="7"/>
      <c r="E122" s="7"/>
      <c r="F122" s="7"/>
      <c r="G122" s="7"/>
      <c r="H122" s="16" t="str">
        <f>IF($A122="","",$A122+3)</f>
        <v/>
      </c>
      <c r="I122" s="16" t="str">
        <f>IF($A122="","",$A122+7)</f>
        <v/>
      </c>
      <c r="J122" s="7"/>
    </row>
    <row r="123">
      <c r="A123" s="8"/>
      <c r="B123" s="7"/>
      <c r="C123" s="7"/>
      <c r="D123" s="7"/>
      <c r="E123" s="7"/>
      <c r="F123" s="7"/>
      <c r="G123" s="7"/>
      <c r="H123" s="16" t="str">
        <f>IF($A123="","",$A123+3)</f>
        <v/>
      </c>
      <c r="I123" s="16" t="str">
        <f>IF($A123="","",$A123+7)</f>
        <v/>
      </c>
      <c r="J123" s="7"/>
    </row>
    <row r="124">
      <c r="A124" s="8"/>
      <c r="B124" s="7"/>
      <c r="C124" s="7"/>
      <c r="D124" s="7"/>
      <c r="E124" s="7"/>
      <c r="F124" s="7"/>
      <c r="G124" s="7"/>
      <c r="H124" s="16" t="str">
        <f>IF($A124="","",$A124+3)</f>
        <v/>
      </c>
      <c r="I124" s="16" t="str">
        <f>IF($A124="","",$A124+7)</f>
        <v/>
      </c>
      <c r="J124" s="7"/>
    </row>
    <row r="125">
      <c r="A125" s="8"/>
      <c r="B125" s="7"/>
      <c r="C125" s="7"/>
      <c r="D125" s="7"/>
      <c r="E125" s="7"/>
      <c r="F125" s="7"/>
      <c r="G125" s="7"/>
      <c r="H125" s="16" t="str">
        <f>IF($A125="","",$A125+3)</f>
        <v/>
      </c>
      <c r="I125" s="16" t="str">
        <f>IF($A125="","",$A125+7)</f>
        <v/>
      </c>
      <c r="J125" s="7"/>
    </row>
    <row r="126">
      <c r="A126" s="8"/>
      <c r="B126" s="7"/>
      <c r="C126" s="7"/>
      <c r="D126" s="7"/>
      <c r="E126" s="7"/>
      <c r="F126" s="7"/>
      <c r="G126" s="7"/>
      <c r="H126" s="16" t="str">
        <f>IF($A126="","",$A126+3)</f>
        <v/>
      </c>
      <c r="I126" s="16" t="str">
        <f>IF($A126="","",$A126+7)</f>
        <v/>
      </c>
      <c r="J126" s="7"/>
    </row>
    <row r="127">
      <c r="A127" s="8"/>
      <c r="B127" s="7"/>
      <c r="C127" s="7"/>
      <c r="D127" s="7"/>
      <c r="E127" s="7"/>
      <c r="F127" s="7"/>
      <c r="G127" s="7"/>
      <c r="H127" s="16" t="str">
        <f>IF($A127="","",$A127+3)</f>
        <v/>
      </c>
      <c r="I127" s="16" t="str">
        <f>IF($A127="","",$A127+7)</f>
        <v/>
      </c>
      <c r="J127" s="7"/>
    </row>
    <row r="128">
      <c r="A128" s="8"/>
      <c r="B128" s="7"/>
      <c r="C128" s="7"/>
      <c r="D128" s="7"/>
      <c r="E128" s="7"/>
      <c r="F128" s="7"/>
      <c r="G128" s="7"/>
      <c r="H128" s="16" t="str">
        <f>IF($A128="","",$A128+3)</f>
        <v/>
      </c>
      <c r="I128" s="16" t="str">
        <f>IF($A128="","",$A128+7)</f>
        <v/>
      </c>
      <c r="J128" s="7"/>
    </row>
    <row r="129">
      <c r="A129" s="8"/>
      <c r="B129" s="7"/>
      <c r="C129" s="7"/>
      <c r="D129" s="7"/>
      <c r="E129" s="7"/>
      <c r="F129" s="7"/>
      <c r="G129" s="7"/>
      <c r="H129" s="16" t="str">
        <f>IF($A129="","",$A129+3)</f>
        <v/>
      </c>
      <c r="I129" s="16" t="str">
        <f>IF($A129="","",$A129+7)</f>
        <v/>
      </c>
      <c r="J129" s="7"/>
    </row>
    <row r="130">
      <c r="A130" s="8"/>
      <c r="B130" s="7"/>
      <c r="C130" s="7"/>
      <c r="D130" s="7"/>
      <c r="E130" s="7"/>
      <c r="F130" s="7"/>
      <c r="G130" s="7"/>
      <c r="H130" s="16" t="str">
        <f>IF($A130="","",$A130+3)</f>
        <v/>
      </c>
      <c r="I130" s="16" t="str">
        <f>IF($A130="","",$A130+7)</f>
        <v/>
      </c>
      <c r="J130" s="7"/>
    </row>
    <row r="131">
      <c r="A131" s="8"/>
      <c r="B131" s="7"/>
      <c r="C131" s="7"/>
      <c r="D131" s="7"/>
      <c r="E131" s="7"/>
      <c r="F131" s="7"/>
      <c r="G131" s="7"/>
      <c r="H131" s="16" t="str">
        <f>IF($A131="","",$A131+3)</f>
        <v/>
      </c>
      <c r="I131" s="16" t="str">
        <f>IF($A131="","",$A131+7)</f>
        <v/>
      </c>
      <c r="J131" s="7"/>
    </row>
    <row r="132">
      <c r="A132" s="8"/>
      <c r="B132" s="7"/>
      <c r="C132" s="7"/>
      <c r="D132" s="7"/>
      <c r="E132" s="7"/>
      <c r="F132" s="7"/>
      <c r="G132" s="7"/>
      <c r="H132" s="16" t="str">
        <f>IF($A132="","",$A132+3)</f>
        <v/>
      </c>
      <c r="I132" s="16" t="str">
        <f>IF($A132="","",$A132+7)</f>
        <v/>
      </c>
      <c r="J132" s="7"/>
    </row>
    <row r="133">
      <c r="A133" s="8"/>
      <c r="B133" s="7"/>
      <c r="C133" s="7"/>
      <c r="D133" s="7"/>
      <c r="E133" s="7"/>
      <c r="F133" s="7"/>
      <c r="G133" s="7"/>
      <c r="H133" s="16" t="str">
        <f>IF($A133="","",$A133+3)</f>
        <v/>
      </c>
      <c r="I133" s="16" t="str">
        <f>IF($A133="","",$A133+7)</f>
        <v/>
      </c>
      <c r="J133" s="7"/>
    </row>
    <row r="134">
      <c r="A134" s="8"/>
      <c r="B134" s="7"/>
      <c r="C134" s="7"/>
      <c r="D134" s="7"/>
      <c r="E134" s="7"/>
      <c r="F134" s="7"/>
      <c r="G134" s="7"/>
      <c r="H134" s="16" t="str">
        <f>IF($A134="","",$A134+3)</f>
        <v/>
      </c>
      <c r="I134" s="16" t="str">
        <f>IF($A134="","",$A134+7)</f>
        <v/>
      </c>
      <c r="J134" s="7"/>
    </row>
    <row r="135">
      <c r="A135" s="8"/>
      <c r="B135" s="7"/>
      <c r="C135" s="7"/>
      <c r="D135" s="7"/>
      <c r="E135" s="7"/>
      <c r="F135" s="7"/>
      <c r="G135" s="7"/>
      <c r="H135" s="16" t="str">
        <f>IF($A135="","",$A135+3)</f>
        <v/>
      </c>
      <c r="I135" s="16" t="str">
        <f>IF($A135="","",$A135+7)</f>
        <v/>
      </c>
      <c r="J135" s="7"/>
    </row>
    <row r="136">
      <c r="A136" s="8"/>
      <c r="B136" s="7"/>
      <c r="C136" s="7"/>
      <c r="D136" s="7"/>
      <c r="E136" s="7"/>
      <c r="F136" s="7"/>
      <c r="G136" s="7"/>
      <c r="H136" s="16" t="str">
        <f>IF($A136="","",$A136+3)</f>
        <v/>
      </c>
      <c r="I136" s="16" t="str">
        <f>IF($A136="","",$A136+7)</f>
        <v/>
      </c>
      <c r="J136" s="7"/>
    </row>
    <row r="137">
      <c r="A137" s="8"/>
      <c r="B137" s="7"/>
      <c r="C137" s="7"/>
      <c r="D137" s="7"/>
      <c r="E137" s="7"/>
      <c r="F137" s="7"/>
      <c r="G137" s="7"/>
      <c r="H137" s="16" t="str">
        <f>IF($A137="","",$A137+3)</f>
        <v/>
      </c>
      <c r="I137" s="16" t="str">
        <f>IF($A137="","",$A137+7)</f>
        <v/>
      </c>
      <c r="J137" s="7"/>
    </row>
    <row r="138">
      <c r="A138" s="8"/>
      <c r="B138" s="7"/>
      <c r="C138" s="7"/>
      <c r="D138" s="7"/>
      <c r="E138" s="7"/>
      <c r="F138" s="7"/>
      <c r="G138" s="7"/>
      <c r="H138" s="16" t="str">
        <f>IF($A138="","",$A138+3)</f>
        <v/>
      </c>
      <c r="I138" s="16" t="str">
        <f>IF($A138="","",$A138+7)</f>
        <v/>
      </c>
      <c r="J138" s="7"/>
    </row>
    <row r="139">
      <c r="A139" s="8"/>
      <c r="B139" s="7"/>
      <c r="C139" s="7"/>
      <c r="D139" s="7"/>
      <c r="E139" s="7"/>
      <c r="F139" s="7"/>
      <c r="G139" s="7"/>
      <c r="H139" s="16" t="str">
        <f>IF($A139="","",$A139+3)</f>
        <v/>
      </c>
      <c r="I139" s="16" t="str">
        <f>IF($A139="","",$A139+7)</f>
        <v/>
      </c>
      <c r="J139" s="7"/>
    </row>
    <row r="140">
      <c r="A140" s="8"/>
      <c r="B140" s="7"/>
      <c r="C140" s="7"/>
      <c r="D140" s="7"/>
      <c r="E140" s="7"/>
      <c r="F140" s="7"/>
      <c r="G140" s="7"/>
      <c r="H140" s="16" t="str">
        <f>IF($A140="","",$A140+3)</f>
        <v/>
      </c>
      <c r="I140" s="16" t="str">
        <f>IF($A140="","",$A140+7)</f>
        <v/>
      </c>
      <c r="J140" s="7"/>
    </row>
    <row r="141">
      <c r="A141" s="8"/>
      <c r="B141" s="7"/>
      <c r="C141" s="7"/>
      <c r="D141" s="7"/>
      <c r="E141" s="7"/>
      <c r="F141" s="7"/>
      <c r="G141" s="7"/>
      <c r="H141" s="16" t="str">
        <f>IF($A141="","",$A141+3)</f>
        <v/>
      </c>
      <c r="I141" s="16" t="str">
        <f>IF($A141="","",$A141+7)</f>
        <v/>
      </c>
      <c r="J141" s="7"/>
    </row>
    <row r="142">
      <c r="A142" s="8"/>
      <c r="B142" s="7"/>
      <c r="C142" s="7"/>
      <c r="D142" s="7"/>
      <c r="E142" s="7"/>
      <c r="F142" s="7"/>
      <c r="G142" s="7"/>
      <c r="H142" s="16" t="str">
        <f>IF($A142="","",$A142+3)</f>
        <v/>
      </c>
      <c r="I142" s="16" t="str">
        <f>IF($A142="","",$A142+7)</f>
        <v/>
      </c>
      <c r="J142" s="7"/>
    </row>
    <row r="143">
      <c r="A143" s="8"/>
      <c r="B143" s="7"/>
      <c r="C143" s="7"/>
      <c r="D143" s="7"/>
      <c r="E143" s="7"/>
      <c r="F143" s="7"/>
      <c r="G143" s="7"/>
      <c r="H143" s="16" t="str">
        <f>IF($A143="","",$A143+3)</f>
        <v/>
      </c>
      <c r="I143" s="16" t="str">
        <f>IF($A143="","",$A143+7)</f>
        <v/>
      </c>
      <c r="J143" s="7"/>
    </row>
    <row r="144">
      <c r="A144" s="8"/>
      <c r="B144" s="7"/>
      <c r="C144" s="7"/>
      <c r="D144" s="7"/>
      <c r="E144" s="7"/>
      <c r="F144" s="7"/>
      <c r="G144" s="7"/>
      <c r="H144" s="16" t="str">
        <f>IF($A144="","",$A144+3)</f>
        <v/>
      </c>
      <c r="I144" s="16" t="str">
        <f>IF($A144="","",$A144+7)</f>
        <v/>
      </c>
      <c r="J144" s="7"/>
    </row>
    <row r="145">
      <c r="A145" s="8"/>
      <c r="B145" s="7"/>
      <c r="C145" s="7"/>
      <c r="D145" s="7"/>
      <c r="E145" s="7"/>
      <c r="F145" s="7"/>
      <c r="G145" s="7"/>
      <c r="H145" s="16" t="str">
        <f>IF($A145="","",$A145+3)</f>
        <v/>
      </c>
      <c r="I145" s="16" t="str">
        <f>IF($A145="","",$A145+7)</f>
        <v/>
      </c>
      <c r="J145" s="7"/>
    </row>
    <row r="146">
      <c r="A146" s="8"/>
      <c r="B146" s="7"/>
      <c r="C146" s="7"/>
      <c r="D146" s="7"/>
      <c r="E146" s="7"/>
      <c r="F146" s="7"/>
      <c r="G146" s="7"/>
      <c r="H146" s="16" t="str">
        <f>IF($A146="","",$A146+3)</f>
        <v/>
      </c>
      <c r="I146" s="16" t="str">
        <f>IF($A146="","",$A146+7)</f>
        <v/>
      </c>
      <c r="J146" s="7"/>
    </row>
    <row r="147">
      <c r="A147" s="8"/>
      <c r="B147" s="7"/>
      <c r="C147" s="7"/>
      <c r="D147" s="7"/>
      <c r="E147" s="7"/>
      <c r="F147" s="7"/>
      <c r="G147" s="7"/>
      <c r="H147" s="16" t="str">
        <f>IF($A147="","",$A147+3)</f>
        <v/>
      </c>
      <c r="I147" s="16" t="str">
        <f>IF($A147="","",$A147+7)</f>
        <v/>
      </c>
      <c r="J147" s="7"/>
    </row>
    <row r="148">
      <c r="A148" s="8"/>
      <c r="B148" s="7"/>
      <c r="C148" s="7"/>
      <c r="D148" s="7"/>
      <c r="E148" s="7"/>
      <c r="F148" s="7"/>
      <c r="G148" s="7"/>
      <c r="H148" s="16" t="str">
        <f>IF($A148="","",$A148+3)</f>
        <v/>
      </c>
      <c r="I148" s="16" t="str">
        <f>IF($A148="","",$A148+7)</f>
        <v/>
      </c>
      <c r="J148" s="7"/>
    </row>
    <row r="149">
      <c r="A149" s="8"/>
      <c r="B149" s="7"/>
      <c r="C149" s="7"/>
      <c r="D149" s="7"/>
      <c r="E149" s="7"/>
      <c r="F149" s="7"/>
      <c r="G149" s="7"/>
      <c r="H149" s="16" t="str">
        <f>IF($A149="","",$A149+3)</f>
        <v/>
      </c>
      <c r="I149" s="16" t="str">
        <f>IF($A149="","",$A149+7)</f>
        <v/>
      </c>
      <c r="J149" s="7"/>
    </row>
    <row r="150">
      <c r="A150" s="8"/>
      <c r="B150" s="7"/>
      <c r="C150" s="7"/>
      <c r="D150" s="7"/>
      <c r="E150" s="7"/>
      <c r="F150" s="7"/>
      <c r="G150" s="7"/>
      <c r="H150" s="16" t="str">
        <f>IF($A150="","",$A150+3)</f>
        <v/>
      </c>
      <c r="I150" s="16" t="str">
        <f>IF($A150="","",$A150+7)</f>
        <v/>
      </c>
      <c r="J150" s="7"/>
    </row>
    <row r="151">
      <c r="A151" s="8"/>
      <c r="B151" s="7"/>
      <c r="C151" s="7"/>
      <c r="D151" s="7"/>
      <c r="E151" s="7"/>
      <c r="F151" s="7"/>
      <c r="G151" s="7"/>
      <c r="H151" s="16" t="str">
        <f>IF($A151="","",$A151+3)</f>
        <v/>
      </c>
      <c r="I151" s="16" t="str">
        <f>IF($A151="","",$A151+7)</f>
        <v/>
      </c>
      <c r="J151" s="7"/>
    </row>
    <row r="152">
      <c r="A152" s="8"/>
      <c r="B152" s="7"/>
      <c r="C152" s="7"/>
      <c r="D152" s="7"/>
      <c r="E152" s="7"/>
      <c r="F152" s="7"/>
      <c r="G152" s="7"/>
      <c r="H152" s="16" t="str">
        <f>IF($A152="","",$A152+3)</f>
        <v/>
      </c>
      <c r="I152" s="16" t="str">
        <f>IF($A152="","",$A152+7)</f>
        <v/>
      </c>
      <c r="J152" s="7"/>
    </row>
    <row r="153">
      <c r="A153" s="8"/>
      <c r="B153" s="7"/>
      <c r="C153" s="7"/>
      <c r="D153" s="7"/>
      <c r="E153" s="7"/>
      <c r="F153" s="7"/>
      <c r="G153" s="7"/>
      <c r="H153" s="16" t="str">
        <f>IF($A153="","",$A153+3)</f>
        <v/>
      </c>
      <c r="I153" s="16" t="str">
        <f>IF($A153="","",$A153+7)</f>
        <v/>
      </c>
      <c r="J153" s="7"/>
    </row>
    <row r="154">
      <c r="A154" s="8"/>
      <c r="B154" s="7"/>
      <c r="C154" s="7"/>
      <c r="D154" s="7"/>
      <c r="E154" s="7"/>
      <c r="F154" s="7"/>
      <c r="G154" s="7"/>
      <c r="H154" s="16" t="str">
        <f>IF($A154="","",$A154+3)</f>
        <v/>
      </c>
      <c r="I154" s="16" t="str">
        <f>IF($A154="","",$A154+7)</f>
        <v/>
      </c>
      <c r="J154" s="7"/>
    </row>
    <row r="155">
      <c r="A155" s="8"/>
      <c r="B155" s="7"/>
      <c r="C155" s="7"/>
      <c r="D155" s="7"/>
      <c r="E155" s="7"/>
      <c r="F155" s="7"/>
      <c r="G155" s="7"/>
      <c r="H155" s="16" t="str">
        <f>IF($A155="","",$A155+3)</f>
        <v/>
      </c>
      <c r="I155" s="16" t="str">
        <f>IF($A155="","",$A155+7)</f>
        <v/>
      </c>
      <c r="J155" s="7"/>
    </row>
    <row r="156">
      <c r="A156" s="8"/>
      <c r="B156" s="7"/>
      <c r="C156" s="7"/>
      <c r="D156" s="7"/>
      <c r="E156" s="7"/>
      <c r="F156" s="7"/>
      <c r="G156" s="7"/>
      <c r="H156" s="16" t="str">
        <f>IF($A156="","",$A156+3)</f>
        <v/>
      </c>
      <c r="I156" s="16" t="str">
        <f>IF($A156="","",$A156+7)</f>
        <v/>
      </c>
      <c r="J156" s="7"/>
    </row>
    <row r="157">
      <c r="A157" s="8"/>
      <c r="B157" s="7"/>
      <c r="C157" s="7"/>
      <c r="D157" s="7"/>
      <c r="E157" s="7"/>
      <c r="F157" s="7"/>
      <c r="G157" s="7"/>
      <c r="H157" s="16" t="str">
        <f>IF($A157="","",$A157+3)</f>
        <v/>
      </c>
      <c r="I157" s="16" t="str">
        <f>IF($A157="","",$A157+7)</f>
        <v/>
      </c>
      <c r="J157" s="7"/>
    </row>
    <row r="158">
      <c r="A158" s="8"/>
      <c r="B158" s="7"/>
      <c r="C158" s="7"/>
      <c r="D158" s="7"/>
      <c r="E158" s="7"/>
      <c r="F158" s="7"/>
      <c r="G158" s="7"/>
      <c r="H158" s="16" t="str">
        <f>IF($A158="","",$A158+3)</f>
        <v/>
      </c>
      <c r="I158" s="16" t="str">
        <f>IF($A158="","",$A158+7)</f>
        <v/>
      </c>
      <c r="J158" s="7"/>
    </row>
    <row r="159">
      <c r="A159" s="8"/>
      <c r="B159" s="7"/>
      <c r="C159" s="7"/>
      <c r="D159" s="7"/>
      <c r="E159" s="7"/>
      <c r="F159" s="7"/>
      <c r="G159" s="7"/>
      <c r="H159" s="16" t="str">
        <f>IF($A159="","",$A159+3)</f>
        <v/>
      </c>
      <c r="I159" s="16" t="str">
        <f>IF($A159="","",$A159+7)</f>
        <v/>
      </c>
      <c r="J159" s="7"/>
    </row>
    <row r="160">
      <c r="A160" s="8"/>
      <c r="B160" s="7"/>
      <c r="C160" s="7"/>
      <c r="D160" s="7"/>
      <c r="E160" s="7"/>
      <c r="F160" s="7"/>
      <c r="G160" s="7"/>
      <c r="H160" s="16" t="str">
        <f>IF($A160="","",$A160+3)</f>
        <v/>
      </c>
      <c r="I160" s="16" t="str">
        <f>IF($A160="","",$A160+7)</f>
        <v/>
      </c>
      <c r="J160" s="7"/>
    </row>
    <row r="161">
      <c r="A161" s="8"/>
      <c r="B161" s="7"/>
      <c r="C161" s="7"/>
      <c r="D161" s="7"/>
      <c r="E161" s="7"/>
      <c r="F161" s="7"/>
      <c r="G161" s="7"/>
      <c r="H161" s="16" t="str">
        <f>IF($A161="","",$A161+3)</f>
        <v/>
      </c>
      <c r="I161" s="16" t="str">
        <f>IF($A161="","",$A161+7)</f>
        <v/>
      </c>
      <c r="J161" s="7"/>
    </row>
    <row r="162">
      <c r="A162" s="8"/>
      <c r="B162" s="7"/>
      <c r="C162" s="7"/>
      <c r="D162" s="7"/>
      <c r="E162" s="7"/>
      <c r="F162" s="7"/>
      <c r="G162" s="7"/>
      <c r="H162" s="16" t="str">
        <f>IF($A162="","",$A162+3)</f>
        <v/>
      </c>
      <c r="I162" s="16" t="str">
        <f>IF($A162="","",$A162+7)</f>
        <v/>
      </c>
      <c r="J162" s="7"/>
    </row>
    <row r="163">
      <c r="A163" s="8"/>
      <c r="B163" s="7"/>
      <c r="C163" s="7"/>
      <c r="D163" s="7"/>
      <c r="E163" s="7"/>
      <c r="F163" s="7"/>
      <c r="G163" s="7"/>
      <c r="H163" s="16" t="str">
        <f>IF($A163="","",$A163+3)</f>
        <v/>
      </c>
      <c r="I163" s="16" t="str">
        <f>IF($A163="","",$A163+7)</f>
        <v/>
      </c>
      <c r="J163" s="7"/>
    </row>
    <row r="164">
      <c r="A164" s="8"/>
      <c r="B164" s="7"/>
      <c r="C164" s="7"/>
      <c r="D164" s="7"/>
      <c r="E164" s="7"/>
      <c r="F164" s="7"/>
      <c r="G164" s="7"/>
      <c r="H164" s="16" t="str">
        <f>IF($A164="","",$A164+3)</f>
        <v/>
      </c>
      <c r="I164" s="16" t="str">
        <f>IF($A164="","",$A164+7)</f>
        <v/>
      </c>
      <c r="J164" s="7"/>
    </row>
    <row r="165">
      <c r="A165" s="8"/>
      <c r="B165" s="7"/>
      <c r="C165" s="7"/>
      <c r="D165" s="7"/>
      <c r="E165" s="7"/>
      <c r="F165" s="7"/>
      <c r="G165" s="7"/>
      <c r="H165" s="16" t="str">
        <f>IF($A165="","",$A165+3)</f>
        <v/>
      </c>
      <c r="I165" s="16" t="str">
        <f>IF($A165="","",$A165+7)</f>
        <v/>
      </c>
      <c r="J165" s="7"/>
    </row>
    <row r="166">
      <c r="A166" s="8"/>
      <c r="B166" s="7"/>
      <c r="C166" s="7"/>
      <c r="D166" s="7"/>
      <c r="E166" s="7"/>
      <c r="F166" s="7"/>
      <c r="G166" s="7"/>
      <c r="H166" s="16" t="str">
        <f>IF($A166="","",$A166+3)</f>
        <v/>
      </c>
      <c r="I166" s="16" t="str">
        <f>IF($A166="","",$A166+7)</f>
        <v/>
      </c>
      <c r="J166" s="7"/>
    </row>
    <row r="167">
      <c r="A167" s="8"/>
      <c r="B167" s="7"/>
      <c r="C167" s="7"/>
      <c r="D167" s="7"/>
      <c r="E167" s="7"/>
      <c r="F167" s="7"/>
      <c r="G167" s="7"/>
      <c r="H167" s="16" t="str">
        <f>IF($A167="","",$A167+3)</f>
        <v/>
      </c>
      <c r="I167" s="16" t="str">
        <f>IF($A167="","",$A167+7)</f>
        <v/>
      </c>
      <c r="J167" s="7"/>
    </row>
    <row r="168">
      <c r="A168" s="8"/>
      <c r="B168" s="7"/>
      <c r="C168" s="7"/>
      <c r="D168" s="7"/>
      <c r="E168" s="7"/>
      <c r="F168" s="7"/>
      <c r="G168" s="7"/>
      <c r="H168" s="16" t="str">
        <f>IF($A168="","",$A168+3)</f>
        <v/>
      </c>
      <c r="I168" s="16" t="str">
        <f>IF($A168="","",$A168+7)</f>
        <v/>
      </c>
      <c r="J168" s="7"/>
    </row>
    <row r="169">
      <c r="A169" s="8"/>
      <c r="B169" s="7"/>
      <c r="C169" s="7"/>
      <c r="D169" s="7"/>
      <c r="E169" s="7"/>
      <c r="F169" s="7"/>
      <c r="G169" s="7"/>
      <c r="H169" s="16" t="str">
        <f>IF($A169="","",$A169+3)</f>
        <v/>
      </c>
      <c r="I169" s="16" t="str">
        <f>IF($A169="","",$A169+7)</f>
        <v/>
      </c>
      <c r="J169" s="7"/>
    </row>
    <row r="170">
      <c r="A170" s="8"/>
      <c r="B170" s="7"/>
      <c r="C170" s="7"/>
      <c r="D170" s="7"/>
      <c r="E170" s="7"/>
      <c r="F170" s="7"/>
      <c r="G170" s="7"/>
      <c r="H170" s="16" t="str">
        <f>IF($A170="","",$A170+3)</f>
        <v/>
      </c>
      <c r="I170" s="16" t="str">
        <f>IF($A170="","",$A170+7)</f>
        <v/>
      </c>
      <c r="J170" s="7"/>
    </row>
    <row r="171">
      <c r="A171" s="8"/>
      <c r="B171" s="7"/>
      <c r="C171" s="7"/>
      <c r="D171" s="7"/>
      <c r="E171" s="7"/>
      <c r="F171" s="7"/>
      <c r="G171" s="7"/>
      <c r="H171" s="16" t="str">
        <f>IF($A171="","",$A171+3)</f>
        <v/>
      </c>
      <c r="I171" s="16" t="str">
        <f>IF($A171="","",$A171+7)</f>
        <v/>
      </c>
      <c r="J171" s="7"/>
    </row>
    <row r="172">
      <c r="A172" s="8"/>
      <c r="B172" s="7"/>
      <c r="C172" s="7"/>
      <c r="D172" s="7"/>
      <c r="E172" s="7"/>
      <c r="F172" s="7"/>
      <c r="G172" s="7"/>
      <c r="H172" s="16" t="str">
        <f>IF($A172="","",$A172+3)</f>
        <v/>
      </c>
      <c r="I172" s="16" t="str">
        <f>IF($A172="","",$A172+7)</f>
        <v/>
      </c>
      <c r="J172" s="7"/>
    </row>
    <row r="173">
      <c r="A173" s="8"/>
      <c r="B173" s="7"/>
      <c r="C173" s="7"/>
      <c r="D173" s="7"/>
      <c r="E173" s="7"/>
      <c r="F173" s="7"/>
      <c r="G173" s="7"/>
      <c r="H173" s="16" t="str">
        <f>IF($A173="","",$A173+3)</f>
        <v/>
      </c>
      <c r="I173" s="16" t="str">
        <f>IF($A173="","",$A173+7)</f>
        <v/>
      </c>
      <c r="J173" s="7"/>
    </row>
    <row r="174">
      <c r="A174" s="8"/>
      <c r="B174" s="7"/>
      <c r="C174" s="7"/>
      <c r="D174" s="7"/>
      <c r="E174" s="7"/>
      <c r="F174" s="7"/>
      <c r="G174" s="7"/>
      <c r="H174" s="16" t="str">
        <f>IF($A174="","",$A174+3)</f>
        <v/>
      </c>
      <c r="I174" s="16" t="str">
        <f>IF($A174="","",$A174+7)</f>
        <v/>
      </c>
      <c r="J174" s="7"/>
    </row>
    <row r="175">
      <c r="A175" s="8"/>
      <c r="B175" s="7"/>
      <c r="C175" s="7"/>
      <c r="D175" s="7"/>
      <c r="E175" s="7"/>
      <c r="F175" s="7"/>
      <c r="G175" s="7"/>
      <c r="H175" s="16" t="str">
        <f>IF($A175="","",$A175+3)</f>
        <v/>
      </c>
      <c r="I175" s="16" t="str">
        <f>IF($A175="","",$A175+7)</f>
        <v/>
      </c>
      <c r="J175" s="7"/>
    </row>
    <row r="176">
      <c r="A176" s="8"/>
      <c r="B176" s="7"/>
      <c r="C176" s="7"/>
      <c r="D176" s="7"/>
      <c r="E176" s="7"/>
      <c r="F176" s="7"/>
      <c r="G176" s="7"/>
      <c r="H176" s="16" t="str">
        <f>IF($A176="","",$A176+3)</f>
        <v/>
      </c>
      <c r="I176" s="16" t="str">
        <f>IF($A176="","",$A176+7)</f>
        <v/>
      </c>
      <c r="J176" s="7"/>
    </row>
    <row r="177">
      <c r="A177" s="8"/>
      <c r="B177" s="7"/>
      <c r="C177" s="7"/>
      <c r="D177" s="7"/>
      <c r="E177" s="7"/>
      <c r="F177" s="7"/>
      <c r="G177" s="7"/>
      <c r="H177" s="16" t="str">
        <f>IF($A177="","",$A177+3)</f>
        <v/>
      </c>
      <c r="I177" s="16" t="str">
        <f>IF($A177="","",$A177+7)</f>
        <v/>
      </c>
      <c r="J177" s="7"/>
    </row>
    <row r="178">
      <c r="A178" s="8"/>
      <c r="B178" s="7"/>
      <c r="C178" s="7"/>
      <c r="D178" s="7"/>
      <c r="E178" s="7"/>
      <c r="F178" s="7"/>
      <c r="G178" s="7"/>
      <c r="H178" s="16" t="str">
        <f>IF($A178="","",$A178+3)</f>
        <v/>
      </c>
      <c r="I178" s="16" t="str">
        <f>IF($A178="","",$A178+7)</f>
        <v/>
      </c>
      <c r="J178" s="7"/>
    </row>
    <row r="179">
      <c r="A179" s="8"/>
      <c r="B179" s="7"/>
      <c r="C179" s="7"/>
      <c r="D179" s="7"/>
      <c r="E179" s="7"/>
      <c r="F179" s="7"/>
      <c r="G179" s="7"/>
      <c r="H179" s="16" t="str">
        <f>IF($A179="","",$A179+3)</f>
        <v/>
      </c>
      <c r="I179" s="16" t="str">
        <f>IF($A179="","",$A179+7)</f>
        <v/>
      </c>
      <c r="J179" s="7"/>
    </row>
    <row r="180">
      <c r="A180" s="8"/>
      <c r="B180" s="7"/>
      <c r="C180" s="7"/>
      <c r="D180" s="7"/>
      <c r="E180" s="7"/>
      <c r="F180" s="7"/>
      <c r="G180" s="7"/>
      <c r="H180" s="16" t="str">
        <f>IF($A180="","",$A180+3)</f>
        <v/>
      </c>
      <c r="I180" s="16" t="str">
        <f>IF($A180="","",$A180+7)</f>
        <v/>
      </c>
      <c r="J180" s="7"/>
    </row>
    <row r="181">
      <c r="A181" s="8"/>
      <c r="B181" s="7"/>
      <c r="C181" s="7"/>
      <c r="D181" s="7"/>
      <c r="E181" s="7"/>
      <c r="F181" s="7"/>
      <c r="G181" s="7"/>
      <c r="H181" s="16" t="str">
        <f>IF($A181="","",$A181+3)</f>
        <v/>
      </c>
      <c r="I181" s="16" t="str">
        <f>IF($A181="","",$A181+7)</f>
        <v/>
      </c>
      <c r="J181" s="7"/>
    </row>
    <row r="182">
      <c r="A182" s="8"/>
      <c r="B182" s="7"/>
      <c r="C182" s="7"/>
      <c r="D182" s="7"/>
      <c r="E182" s="7"/>
      <c r="F182" s="7"/>
      <c r="G182" s="7"/>
      <c r="H182" s="16" t="str">
        <f>IF($A182="","",$A182+3)</f>
        <v/>
      </c>
      <c r="I182" s="16" t="str">
        <f>IF($A182="","",$A182+7)</f>
        <v/>
      </c>
      <c r="J182" s="7"/>
    </row>
    <row r="183">
      <c r="A183" s="8"/>
      <c r="B183" s="7"/>
      <c r="C183" s="7"/>
      <c r="D183" s="7"/>
      <c r="E183" s="7"/>
      <c r="F183" s="7"/>
      <c r="G183" s="7"/>
      <c r="H183" s="16" t="str">
        <f>IF($A183="","",$A183+3)</f>
        <v/>
      </c>
      <c r="I183" s="16" t="str">
        <f>IF($A183="","",$A183+7)</f>
        <v/>
      </c>
      <c r="J183" s="7"/>
    </row>
    <row r="184">
      <c r="A184" s="8"/>
      <c r="B184" s="7"/>
      <c r="C184" s="7"/>
      <c r="D184" s="7"/>
      <c r="E184" s="7"/>
      <c r="F184" s="7"/>
      <c r="G184" s="7"/>
      <c r="H184" s="16" t="str">
        <f>IF($A184="","",$A184+3)</f>
        <v/>
      </c>
      <c r="I184" s="16" t="str">
        <f>IF($A184="","",$A184+7)</f>
        <v/>
      </c>
      <c r="J184" s="7"/>
    </row>
    <row r="185">
      <c r="A185" s="8"/>
      <c r="B185" s="7"/>
      <c r="C185" s="7"/>
      <c r="D185" s="7"/>
      <c r="E185" s="7"/>
      <c r="F185" s="7"/>
      <c r="G185" s="7"/>
      <c r="H185" s="16" t="str">
        <f>IF($A185="","",$A185+3)</f>
        <v/>
      </c>
      <c r="I185" s="16" t="str">
        <f>IF($A185="","",$A185+7)</f>
        <v/>
      </c>
      <c r="J185" s="7"/>
    </row>
    <row r="186">
      <c r="A186" s="8"/>
      <c r="B186" s="7"/>
      <c r="C186" s="7"/>
      <c r="D186" s="7"/>
      <c r="E186" s="7"/>
      <c r="F186" s="7"/>
      <c r="G186" s="7"/>
      <c r="H186" s="16" t="str">
        <f>IF($A186="","",$A186+3)</f>
        <v/>
      </c>
      <c r="I186" s="16" t="str">
        <f>IF($A186="","",$A186+7)</f>
        <v/>
      </c>
      <c r="J186" s="7"/>
    </row>
    <row r="187">
      <c r="A187" s="8"/>
      <c r="B187" s="7"/>
      <c r="C187" s="7"/>
      <c r="D187" s="7"/>
      <c r="E187" s="7"/>
      <c r="F187" s="7"/>
      <c r="G187" s="7"/>
      <c r="H187" s="16" t="str">
        <f>IF($A187="","",$A187+3)</f>
        <v/>
      </c>
      <c r="I187" s="16" t="str">
        <f>IF($A187="","",$A187+7)</f>
        <v/>
      </c>
      <c r="J187" s="7"/>
    </row>
    <row r="188">
      <c r="A188" s="8"/>
      <c r="B188" s="7"/>
      <c r="C188" s="7"/>
      <c r="D188" s="7"/>
      <c r="E188" s="7"/>
      <c r="F188" s="7"/>
      <c r="G188" s="7"/>
      <c r="H188" s="16" t="str">
        <f>IF($A188="","",$A188+3)</f>
        <v/>
      </c>
      <c r="I188" s="16" t="str">
        <f>IF($A188="","",$A188+7)</f>
        <v/>
      </c>
      <c r="J188" s="7"/>
    </row>
    <row r="189">
      <c r="A189" s="8"/>
      <c r="B189" s="7"/>
      <c r="C189" s="7"/>
      <c r="D189" s="7"/>
      <c r="E189" s="7"/>
      <c r="F189" s="7"/>
      <c r="G189" s="7"/>
      <c r="H189" s="16" t="str">
        <f>IF($A189="","",$A189+3)</f>
        <v/>
      </c>
      <c r="I189" s="16" t="str">
        <f>IF($A189="","",$A189+7)</f>
        <v/>
      </c>
      <c r="J189" s="7"/>
    </row>
    <row r="190">
      <c r="A190" s="8"/>
      <c r="B190" s="7"/>
      <c r="C190" s="7"/>
      <c r="D190" s="7"/>
      <c r="E190" s="7"/>
      <c r="F190" s="7"/>
      <c r="G190" s="7"/>
      <c r="H190" s="16" t="str">
        <f>IF($A190="","",$A190+3)</f>
        <v/>
      </c>
      <c r="I190" s="16" t="str">
        <f>IF($A190="","",$A190+7)</f>
        <v/>
      </c>
      <c r="J190" s="7"/>
    </row>
    <row r="191">
      <c r="A191" s="8"/>
      <c r="B191" s="7"/>
      <c r="C191" s="7"/>
      <c r="D191" s="7"/>
      <c r="E191" s="7"/>
      <c r="F191" s="7"/>
      <c r="G191" s="7"/>
      <c r="H191" s="16" t="str">
        <f>IF($A191="","",$A191+3)</f>
        <v/>
      </c>
      <c r="I191" s="16" t="str">
        <f>IF($A191="","",$A191+7)</f>
        <v/>
      </c>
      <c r="J191" s="7"/>
    </row>
    <row r="192">
      <c r="A192" s="8"/>
      <c r="B192" s="7"/>
      <c r="C192" s="7"/>
      <c r="D192" s="7"/>
      <c r="E192" s="7"/>
      <c r="F192" s="7"/>
      <c r="G192" s="7"/>
      <c r="H192" s="16" t="str">
        <f>IF($A192="","",$A192+3)</f>
        <v/>
      </c>
      <c r="I192" s="16" t="str">
        <f>IF($A192="","",$A192+7)</f>
        <v/>
      </c>
      <c r="J192" s="7"/>
    </row>
    <row r="193">
      <c r="A193" s="8"/>
      <c r="B193" s="7"/>
      <c r="C193" s="7"/>
      <c r="D193" s="7"/>
      <c r="E193" s="7"/>
      <c r="F193" s="7"/>
      <c r="G193" s="7"/>
      <c r="H193" s="16" t="str">
        <f>IF($A193="","",$A193+3)</f>
        <v/>
      </c>
      <c r="I193" s="16" t="str">
        <f>IF($A193="","",$A193+7)</f>
        <v/>
      </c>
      <c r="J193" s="7"/>
    </row>
    <row r="194">
      <c r="A194" s="8"/>
      <c r="B194" s="7"/>
      <c r="C194" s="7"/>
      <c r="D194" s="7"/>
      <c r="E194" s="7"/>
      <c r="F194" s="7"/>
      <c r="G194" s="7"/>
      <c r="H194" s="16" t="str">
        <f>IF($A194="","",$A194+3)</f>
        <v/>
      </c>
      <c r="I194" s="16" t="str">
        <f>IF($A194="","",$A194+7)</f>
        <v/>
      </c>
      <c r="J194" s="7"/>
    </row>
    <row r="195">
      <c r="A195" s="8"/>
      <c r="B195" s="7"/>
      <c r="C195" s="7"/>
      <c r="D195" s="7"/>
      <c r="E195" s="7"/>
      <c r="F195" s="7"/>
      <c r="G195" s="7"/>
      <c r="H195" s="16" t="str">
        <f>IF($A195="","",$A195+3)</f>
        <v/>
      </c>
      <c r="I195" s="16" t="str">
        <f>IF($A195="","",$A195+7)</f>
        <v/>
      </c>
      <c r="J195" s="7"/>
    </row>
    <row r="196">
      <c r="A196" s="8"/>
      <c r="B196" s="7"/>
      <c r="C196" s="7"/>
      <c r="D196" s="7"/>
      <c r="E196" s="7"/>
      <c r="F196" s="7"/>
      <c r="G196" s="7"/>
      <c r="H196" s="16" t="str">
        <f>IF($A196="","",$A196+3)</f>
        <v/>
      </c>
      <c r="I196" s="16" t="str">
        <f>IF($A196="","",$A196+7)</f>
        <v/>
      </c>
      <c r="J196" s="7"/>
    </row>
    <row r="197">
      <c r="A197" s="8"/>
      <c r="B197" s="7"/>
      <c r="C197" s="7"/>
      <c r="D197" s="7"/>
      <c r="E197" s="7"/>
      <c r="F197" s="7"/>
      <c r="G197" s="7"/>
      <c r="H197" s="16" t="str">
        <f>IF($A197="","",$A197+3)</f>
        <v/>
      </c>
      <c r="I197" s="16" t="str">
        <f>IF($A197="","",$A197+7)</f>
        <v/>
      </c>
      <c r="J197" s="7"/>
    </row>
    <row r="198">
      <c r="A198" s="8"/>
      <c r="B198" s="7"/>
      <c r="C198" s="7"/>
      <c r="D198" s="7"/>
      <c r="E198" s="7"/>
      <c r="F198" s="7"/>
      <c r="G198" s="7"/>
      <c r="H198" s="16" t="str">
        <f>IF($A198="","",$A198+3)</f>
        <v/>
      </c>
      <c r="I198" s="16" t="str">
        <f>IF($A198="","",$A198+7)</f>
        <v/>
      </c>
      <c r="J198" s="7"/>
    </row>
    <row r="199">
      <c r="A199" s="8"/>
      <c r="B199" s="7"/>
      <c r="C199" s="7"/>
      <c r="D199" s="7"/>
      <c r="E199" s="7"/>
      <c r="F199" s="7"/>
      <c r="G199" s="7"/>
      <c r="H199" s="16" t="str">
        <f>IF($A199="","",$A199+3)</f>
        <v/>
      </c>
      <c r="I199" s="16" t="str">
        <f>IF($A199="","",$A199+7)</f>
        <v/>
      </c>
      <c r="J199" s="7"/>
    </row>
    <row r="200">
      <c r="A200" s="8"/>
      <c r="B200" s="7"/>
      <c r="C200" s="7"/>
      <c r="D200" s="7"/>
      <c r="E200" s="7"/>
      <c r="F200" s="7"/>
      <c r="G200" s="7"/>
      <c r="H200" s="16" t="str">
        <f>IF($A200="","",$A200+3)</f>
        <v/>
      </c>
      <c r="I200" s="16" t="str">
        <f>IF($A200="","",$A200+7)</f>
        <v/>
      </c>
      <c r="J200" s="7"/>
    </row>
    <row r="201">
      <c r="A201" s="8"/>
      <c r="B201" s="7"/>
      <c r="C201" s="7"/>
      <c r="D201" s="7"/>
      <c r="E201" s="7"/>
      <c r="F201" s="7"/>
      <c r="G201" s="7"/>
      <c r="H201" s="16" t="str">
        <f>IF($A201="","",$A201+3)</f>
        <v/>
      </c>
      <c r="I201" s="16" t="str">
        <f>IF($A201="","",$A201+7)</f>
        <v/>
      </c>
      <c r="J201" s="7"/>
    </row>
    <row r="202">
      <c r="A202" s="8"/>
      <c r="B202" s="7"/>
      <c r="C202" s="7"/>
      <c r="D202" s="7"/>
      <c r="E202" s="7"/>
      <c r="F202" s="7"/>
      <c r="G202" s="7"/>
      <c r="H202" s="16" t="str">
        <f>IF($A202="","",$A202+3)</f>
        <v/>
      </c>
      <c r="I202" s="16" t="str">
        <f>IF($A202="","",$A202+7)</f>
        <v/>
      </c>
      <c r="J202" s="7"/>
    </row>
    <row r="203">
      <c r="A203" s="8"/>
      <c r="B203" s="7"/>
      <c r="C203" s="7"/>
      <c r="D203" s="7"/>
      <c r="E203" s="7"/>
      <c r="F203" s="7"/>
      <c r="G203" s="7"/>
      <c r="H203" s="16" t="str">
        <f>IF($A203="","",$A203+3)</f>
        <v/>
      </c>
      <c r="I203" s="16" t="str">
        <f>IF($A203="","",$A203+7)</f>
        <v/>
      </c>
      <c r="J203" s="7"/>
    </row>
    <row r="204">
      <c r="A204" s="8"/>
      <c r="B204" s="7"/>
      <c r="C204" s="7"/>
      <c r="D204" s="7"/>
      <c r="E204" s="7"/>
      <c r="F204" s="7"/>
      <c r="G204" s="7"/>
      <c r="H204" s="16" t="str">
        <f>IF($A204="","",$A204+3)</f>
        <v/>
      </c>
      <c r="I204" s="16" t="str">
        <f>IF($A204="","",$A204+7)</f>
        <v/>
      </c>
      <c r="J204" s="7"/>
    </row>
    <row r="205">
      <c r="A205" s="8"/>
      <c r="B205" s="7"/>
      <c r="C205" s="7"/>
      <c r="D205" s="7"/>
      <c r="E205" s="7"/>
      <c r="F205" s="7"/>
      <c r="G205" s="7"/>
      <c r="H205" s="16" t="str">
        <f>IF($A205="","",$A205+3)</f>
        <v/>
      </c>
      <c r="I205" s="16" t="str">
        <f>IF($A205="","",$A205+7)</f>
        <v/>
      </c>
      <c r="J205" s="7"/>
    </row>
    <row r="206">
      <c r="A206" s="8"/>
      <c r="B206" s="7"/>
      <c r="C206" s="7"/>
      <c r="D206" s="7"/>
      <c r="E206" s="7"/>
      <c r="F206" s="7"/>
      <c r="G206" s="7"/>
      <c r="H206" s="16" t="str">
        <f>IF($A206="","",$A206+3)</f>
        <v/>
      </c>
      <c r="I206" s="16" t="str">
        <f>IF($A206="","",$A206+7)</f>
        <v/>
      </c>
      <c r="J206" s="7"/>
    </row>
    <row r="207">
      <c r="A207" s="8"/>
      <c r="B207" s="7"/>
      <c r="C207" s="7"/>
      <c r="D207" s="7"/>
      <c r="E207" s="7"/>
      <c r="F207" s="7"/>
      <c r="G207" s="7"/>
      <c r="H207" s="16" t="str">
        <f>IF($A207="","",$A207+3)</f>
        <v/>
      </c>
      <c r="I207" s="16" t="str">
        <f>IF($A207="","",$A207+7)</f>
        <v/>
      </c>
      <c r="J207" s="7"/>
    </row>
    <row r="208">
      <c r="A208" s="8"/>
      <c r="B208" s="7"/>
      <c r="C208" s="7"/>
      <c r="D208" s="7"/>
      <c r="E208" s="7"/>
      <c r="F208" s="7"/>
      <c r="G208" s="7"/>
      <c r="H208" s="16" t="str">
        <f>IF($A208="","",$A208+3)</f>
        <v/>
      </c>
      <c r="I208" s="16" t="str">
        <f>IF($A208="","",$A208+7)</f>
        <v/>
      </c>
      <c r="J208" s="7"/>
    </row>
    <row r="209">
      <c r="A209" s="8"/>
      <c r="B209" s="7"/>
      <c r="C209" s="7"/>
      <c r="D209" s="7"/>
      <c r="E209" s="7"/>
      <c r="F209" s="7"/>
      <c r="G209" s="7"/>
      <c r="H209" s="16" t="str">
        <f>IF($A209="","",$A209+3)</f>
        <v/>
      </c>
      <c r="I209" s="16" t="str">
        <f>IF($A209="","",$A209+7)</f>
        <v/>
      </c>
      <c r="J209" s="7"/>
    </row>
    <row r="210">
      <c r="A210" s="8"/>
      <c r="B210" s="7"/>
      <c r="C210" s="7"/>
      <c r="D210" s="7"/>
      <c r="E210" s="7"/>
      <c r="F210" s="7"/>
      <c r="G210" s="7"/>
      <c r="H210" s="16" t="str">
        <f>IF($A210="","",$A210+3)</f>
        <v/>
      </c>
      <c r="I210" s="16" t="str">
        <f>IF($A210="","",$A210+7)</f>
        <v/>
      </c>
      <c r="J210" s="7"/>
    </row>
    <row r="211">
      <c r="A211" s="8"/>
      <c r="B211" s="7"/>
      <c r="C211" s="7"/>
      <c r="D211" s="7"/>
      <c r="E211" s="7"/>
      <c r="F211" s="7"/>
      <c r="G211" s="7"/>
      <c r="H211" s="16" t="str">
        <f>IF($A211="","",$A211+3)</f>
        <v/>
      </c>
      <c r="I211" s="16" t="str">
        <f>IF($A211="","",$A211+7)</f>
        <v/>
      </c>
      <c r="J211" s="7"/>
    </row>
    <row r="212">
      <c r="A212" s="8"/>
      <c r="B212" s="7"/>
      <c r="C212" s="7"/>
      <c r="D212" s="7"/>
      <c r="E212" s="7"/>
      <c r="F212" s="7"/>
      <c r="G212" s="7"/>
      <c r="H212" s="16" t="str">
        <f>IF($A212="","",$A212+3)</f>
        <v/>
      </c>
      <c r="I212" s="16" t="str">
        <f>IF($A212="","",$A212+7)</f>
        <v/>
      </c>
      <c r="J212" s="7"/>
    </row>
    <row r="213">
      <c r="A213" s="8"/>
      <c r="B213" s="7"/>
      <c r="C213" s="7"/>
      <c r="D213" s="7"/>
      <c r="E213" s="7"/>
      <c r="F213" s="7"/>
      <c r="G213" s="7"/>
      <c r="H213" s="16" t="str">
        <f>IF($A213="","",$A213+3)</f>
        <v/>
      </c>
      <c r="I213" s="16" t="str">
        <f>IF($A213="","",$A213+7)</f>
        <v/>
      </c>
      <c r="J213" s="7"/>
    </row>
    <row r="214">
      <c r="A214" s="8"/>
      <c r="B214" s="7"/>
      <c r="C214" s="7"/>
      <c r="D214" s="7"/>
      <c r="E214" s="7"/>
      <c r="F214" s="7"/>
      <c r="G214" s="7"/>
      <c r="H214" s="16" t="str">
        <f>IF($A214="","",$A214+3)</f>
        <v/>
      </c>
      <c r="I214" s="16" t="str">
        <f>IF($A214="","",$A214+7)</f>
        <v/>
      </c>
      <c r="J214" s="7"/>
    </row>
    <row r="215">
      <c r="A215" s="8"/>
      <c r="B215" s="7"/>
      <c r="C215" s="7"/>
      <c r="D215" s="7"/>
      <c r="E215" s="7"/>
      <c r="F215" s="7"/>
      <c r="G215" s="7"/>
      <c r="H215" s="16" t="str">
        <f>IF($A215="","",$A215+3)</f>
        <v/>
      </c>
      <c r="I215" s="16" t="str">
        <f>IF($A215="","",$A215+7)</f>
        <v/>
      </c>
      <c r="J215" s="7"/>
    </row>
    <row r="216">
      <c r="A216" s="8"/>
      <c r="B216" s="7"/>
      <c r="C216" s="7"/>
      <c r="D216" s="7"/>
      <c r="E216" s="7"/>
      <c r="F216" s="7"/>
      <c r="G216" s="7"/>
      <c r="H216" s="16" t="str">
        <f>IF($A216="","",$A216+3)</f>
        <v/>
      </c>
      <c r="I216" s="16" t="str">
        <f>IF($A216="","",$A216+7)</f>
        <v/>
      </c>
      <c r="J216" s="7"/>
    </row>
    <row r="217">
      <c r="A217" s="8"/>
      <c r="B217" s="7"/>
      <c r="C217" s="7"/>
      <c r="D217" s="7"/>
      <c r="E217" s="7"/>
      <c r="F217" s="7"/>
      <c r="G217" s="7"/>
      <c r="H217" s="16" t="str">
        <f>IF($A217="","",$A217+3)</f>
        <v/>
      </c>
      <c r="I217" s="16" t="str">
        <f>IF($A217="","",$A217+7)</f>
        <v/>
      </c>
      <c r="J217" s="7"/>
    </row>
    <row r="218">
      <c r="A218" s="8"/>
      <c r="B218" s="7"/>
      <c r="C218" s="7"/>
      <c r="D218" s="7"/>
      <c r="E218" s="7"/>
      <c r="F218" s="7"/>
      <c r="G218" s="7"/>
      <c r="H218" s="16" t="str">
        <f>IF($A218="","",$A218+3)</f>
        <v/>
      </c>
      <c r="I218" s="16" t="str">
        <f>IF($A218="","",$A218+7)</f>
        <v/>
      </c>
      <c r="J218" s="7"/>
    </row>
    <row r="219">
      <c r="A219" s="8"/>
      <c r="B219" s="7"/>
      <c r="C219" s="7"/>
      <c r="D219" s="7"/>
      <c r="E219" s="7"/>
      <c r="F219" s="7"/>
      <c r="G219" s="7"/>
      <c r="H219" s="16" t="str">
        <f>IF($A219="","",$A219+3)</f>
        <v/>
      </c>
      <c r="I219" s="16" t="str">
        <f>IF($A219="","",$A219+7)</f>
        <v/>
      </c>
      <c r="J219" s="7"/>
    </row>
    <row r="220">
      <c r="A220" s="8"/>
      <c r="B220" s="7"/>
      <c r="C220" s="7"/>
      <c r="D220" s="7"/>
      <c r="E220" s="7"/>
      <c r="F220" s="7"/>
      <c r="G220" s="7"/>
      <c r="H220" s="16" t="str">
        <f>IF($A220="","",$A220+3)</f>
        <v/>
      </c>
      <c r="I220" s="16" t="str">
        <f>IF($A220="","",$A220+7)</f>
        <v/>
      </c>
      <c r="J220" s="7"/>
    </row>
    <row r="221">
      <c r="A221" s="8"/>
      <c r="B221" s="7"/>
      <c r="C221" s="7"/>
      <c r="D221" s="7"/>
      <c r="E221" s="7"/>
      <c r="F221" s="7"/>
      <c r="G221" s="7"/>
      <c r="H221" s="16" t="str">
        <f>IF($A221="","",$A221+3)</f>
        <v/>
      </c>
      <c r="I221" s="16" t="str">
        <f>IF($A221="","",$A221+7)</f>
        <v/>
      </c>
      <c r="J221" s="7"/>
    </row>
    <row r="222">
      <c r="A222" s="8"/>
      <c r="B222" s="7"/>
      <c r="C222" s="7"/>
      <c r="D222" s="7"/>
      <c r="E222" s="7"/>
      <c r="F222" s="7"/>
      <c r="G222" s="7"/>
      <c r="H222" s="16" t="str">
        <f>IF($A222="","",$A222+3)</f>
        <v/>
      </c>
      <c r="I222" s="16" t="str">
        <f>IF($A222="","",$A222+7)</f>
        <v/>
      </c>
      <c r="J222" s="7"/>
    </row>
    <row r="223">
      <c r="A223" s="8"/>
      <c r="B223" s="7"/>
      <c r="C223" s="7"/>
      <c r="D223" s="7"/>
      <c r="E223" s="7"/>
      <c r="F223" s="7"/>
      <c r="G223" s="7"/>
      <c r="H223" s="16" t="str">
        <f>IF($A223="","",$A223+3)</f>
        <v/>
      </c>
      <c r="I223" s="16" t="str">
        <f>IF($A223="","",$A223+7)</f>
        <v/>
      </c>
      <c r="J223" s="7"/>
    </row>
    <row r="224">
      <c r="A224" s="8"/>
      <c r="B224" s="7"/>
      <c r="C224" s="7"/>
      <c r="D224" s="7"/>
      <c r="E224" s="7"/>
      <c r="F224" s="7"/>
      <c r="G224" s="7"/>
      <c r="H224" s="16" t="str">
        <f>IF($A224="","",$A224+3)</f>
        <v/>
      </c>
      <c r="I224" s="16" t="str">
        <f>IF($A224="","",$A224+7)</f>
        <v/>
      </c>
      <c r="J224" s="7"/>
    </row>
    <row r="225">
      <c r="A225" s="8"/>
      <c r="B225" s="7"/>
      <c r="C225" s="7"/>
      <c r="D225" s="7"/>
      <c r="E225" s="7"/>
      <c r="F225" s="7"/>
      <c r="G225" s="7"/>
      <c r="H225" s="16" t="str">
        <f>IF($A225="","",$A225+3)</f>
        <v/>
      </c>
      <c r="I225" s="16" t="str">
        <f>IF($A225="","",$A225+7)</f>
        <v/>
      </c>
      <c r="J225" s="7"/>
    </row>
    <row r="226">
      <c r="A226" s="8"/>
      <c r="B226" s="7"/>
      <c r="C226" s="7"/>
      <c r="D226" s="7"/>
      <c r="E226" s="7"/>
      <c r="F226" s="7"/>
      <c r="G226" s="7"/>
      <c r="H226" s="16" t="str">
        <f>IF($A226="","",$A226+3)</f>
        <v/>
      </c>
      <c r="I226" s="16" t="str">
        <f>IF($A226="","",$A226+7)</f>
        <v/>
      </c>
      <c r="J226" s="7"/>
    </row>
    <row r="227">
      <c r="A227" s="8"/>
      <c r="B227" s="7"/>
      <c r="C227" s="7"/>
      <c r="D227" s="7"/>
      <c r="E227" s="7"/>
      <c r="F227" s="7"/>
      <c r="G227" s="7"/>
      <c r="H227" s="16" t="str">
        <f>IF($A227="","",$A227+3)</f>
        <v/>
      </c>
      <c r="I227" s="16" t="str">
        <f>IF($A227="","",$A227+7)</f>
        <v/>
      </c>
      <c r="J227" s="7"/>
    </row>
    <row r="228">
      <c r="A228" s="8"/>
      <c r="B228" s="7"/>
      <c r="C228" s="7"/>
      <c r="D228" s="7"/>
      <c r="E228" s="7"/>
      <c r="F228" s="7"/>
      <c r="G228" s="7"/>
      <c r="H228" s="16" t="str">
        <f>IF($A228="","",$A228+3)</f>
        <v/>
      </c>
      <c r="I228" s="16" t="str">
        <f>IF($A228="","",$A228+7)</f>
        <v/>
      </c>
      <c r="J228" s="7"/>
    </row>
    <row r="229">
      <c r="A229" s="8"/>
      <c r="B229" s="7"/>
      <c r="C229" s="7"/>
      <c r="D229" s="7"/>
      <c r="E229" s="7"/>
      <c r="F229" s="7"/>
      <c r="G229" s="7"/>
      <c r="H229" s="16" t="str">
        <f>IF($A229="","",$A229+3)</f>
        <v/>
      </c>
      <c r="I229" s="16" t="str">
        <f>IF($A229="","",$A229+7)</f>
        <v/>
      </c>
      <c r="J229" s="7"/>
    </row>
    <row r="230">
      <c r="A230" s="8"/>
      <c r="B230" s="7"/>
      <c r="C230" s="7"/>
      <c r="D230" s="7"/>
      <c r="E230" s="7"/>
      <c r="F230" s="7"/>
      <c r="G230" s="7"/>
      <c r="H230" s="16" t="str">
        <f>IF($A230="","",$A230+3)</f>
        <v/>
      </c>
      <c r="I230" s="16" t="str">
        <f>IF($A230="","",$A230+7)</f>
        <v/>
      </c>
      <c r="J230" s="7"/>
    </row>
    <row r="231">
      <c r="A231" s="8"/>
      <c r="B231" s="7"/>
      <c r="C231" s="7"/>
      <c r="D231" s="7"/>
      <c r="E231" s="7"/>
      <c r="F231" s="7"/>
      <c r="G231" s="7"/>
      <c r="H231" s="16" t="str">
        <f>IF($A231="","",$A231+3)</f>
        <v/>
      </c>
      <c r="I231" s="16" t="str">
        <f>IF($A231="","",$A231+7)</f>
        <v/>
      </c>
      <c r="J231" s="7"/>
    </row>
    <row r="232">
      <c r="A232" s="8"/>
      <c r="B232" s="7"/>
      <c r="C232" s="7"/>
      <c r="D232" s="7"/>
      <c r="E232" s="7"/>
      <c r="F232" s="7"/>
      <c r="G232" s="7"/>
      <c r="H232" s="16" t="str">
        <f>IF($A232="","",$A232+3)</f>
        <v/>
      </c>
      <c r="I232" s="16" t="str">
        <f>IF($A232="","",$A232+7)</f>
        <v/>
      </c>
      <c r="J232" s="7"/>
    </row>
    <row r="233">
      <c r="A233" s="8"/>
      <c r="B233" s="7"/>
      <c r="C233" s="7"/>
      <c r="D233" s="7"/>
      <c r="E233" s="7"/>
      <c r="F233" s="7"/>
      <c r="G233" s="7"/>
      <c r="H233" s="16" t="str">
        <f>IF($A233="","",$A233+3)</f>
        <v/>
      </c>
      <c r="I233" s="16" t="str">
        <f>IF($A233="","",$A233+7)</f>
        <v/>
      </c>
      <c r="J233" s="7"/>
    </row>
    <row r="234">
      <c r="A234" s="8"/>
      <c r="B234" s="7"/>
      <c r="C234" s="7"/>
      <c r="D234" s="7"/>
      <c r="E234" s="7"/>
      <c r="F234" s="7"/>
      <c r="G234" s="7"/>
      <c r="H234" s="16" t="str">
        <f>IF($A234="","",$A234+3)</f>
        <v/>
      </c>
      <c r="I234" s="16" t="str">
        <f>IF($A234="","",$A234+7)</f>
        <v/>
      </c>
      <c r="J234" s="7"/>
    </row>
    <row r="235">
      <c r="A235" s="8"/>
      <c r="B235" s="7"/>
      <c r="C235" s="7"/>
      <c r="D235" s="7"/>
      <c r="E235" s="7"/>
      <c r="F235" s="7"/>
      <c r="G235" s="7"/>
      <c r="H235" s="16" t="str">
        <f>IF($A235="","",$A235+3)</f>
        <v/>
      </c>
      <c r="I235" s="16" t="str">
        <f>IF($A235="","",$A235+7)</f>
        <v/>
      </c>
      <c r="J235" s="7"/>
    </row>
    <row r="236">
      <c r="A236" s="8"/>
      <c r="B236" s="7"/>
      <c r="C236" s="7"/>
      <c r="D236" s="7"/>
      <c r="E236" s="7"/>
      <c r="F236" s="7"/>
      <c r="G236" s="7"/>
      <c r="H236" s="16" t="str">
        <f>IF($A236="","",$A236+3)</f>
        <v/>
      </c>
      <c r="I236" s="16" t="str">
        <f>IF($A236="","",$A236+7)</f>
        <v/>
      </c>
      <c r="J236" s="7"/>
    </row>
    <row r="237">
      <c r="A237" s="8"/>
      <c r="B237" s="7"/>
      <c r="C237" s="7"/>
      <c r="D237" s="7"/>
      <c r="E237" s="7"/>
      <c r="F237" s="7"/>
      <c r="G237" s="7"/>
      <c r="H237" s="16" t="str">
        <f>IF($A237="","",$A237+3)</f>
        <v/>
      </c>
      <c r="I237" s="16" t="str">
        <f>IF($A237="","",$A237+7)</f>
        <v/>
      </c>
      <c r="J237" s="7"/>
    </row>
    <row r="238">
      <c r="A238" s="8"/>
      <c r="B238" s="7"/>
      <c r="C238" s="7"/>
      <c r="D238" s="7"/>
      <c r="E238" s="7"/>
      <c r="F238" s="7"/>
      <c r="G238" s="7"/>
      <c r="H238" s="16" t="str">
        <f>IF($A238="","",$A238+3)</f>
        <v/>
      </c>
      <c r="I238" s="16" t="str">
        <f>IF($A238="","",$A238+7)</f>
        <v/>
      </c>
      <c r="J238" s="7"/>
    </row>
    <row r="239">
      <c r="A239" s="8"/>
      <c r="B239" s="7"/>
      <c r="C239" s="7"/>
      <c r="D239" s="7"/>
      <c r="E239" s="7"/>
      <c r="F239" s="7"/>
      <c r="G239" s="7"/>
      <c r="H239" s="16" t="str">
        <f>IF($A239="","",$A239+3)</f>
        <v/>
      </c>
      <c r="I239" s="16" t="str">
        <f>IF($A239="","",$A239+7)</f>
        <v/>
      </c>
      <c r="J239" s="7"/>
    </row>
    <row r="240">
      <c r="A240" s="8"/>
      <c r="B240" s="7"/>
      <c r="C240" s="7"/>
      <c r="D240" s="7"/>
      <c r="E240" s="7"/>
      <c r="F240" s="7"/>
      <c r="G240" s="7"/>
      <c r="H240" s="16" t="str">
        <f>IF($A240="","",$A240+3)</f>
        <v/>
      </c>
      <c r="I240" s="16" t="str">
        <f>IF($A240="","",$A240+7)</f>
        <v/>
      </c>
      <c r="J240" s="7"/>
    </row>
    <row r="241">
      <c r="A241" s="8"/>
      <c r="B241" s="7"/>
      <c r="C241" s="7"/>
      <c r="D241" s="7"/>
      <c r="E241" s="7"/>
      <c r="F241" s="7"/>
      <c r="G241" s="7"/>
      <c r="H241" s="16" t="str">
        <f>IF($A241="","",$A241+3)</f>
        <v/>
      </c>
      <c r="I241" s="16" t="str">
        <f>IF($A241="","",$A241+7)</f>
        <v/>
      </c>
      <c r="J241" s="7"/>
    </row>
    <row r="242">
      <c r="A242" s="8"/>
      <c r="B242" s="7"/>
      <c r="C242" s="7"/>
      <c r="D242" s="7"/>
      <c r="E242" s="7"/>
      <c r="F242" s="7"/>
      <c r="G242" s="7"/>
      <c r="H242" s="16" t="str">
        <f>IF($A242="","",$A242+3)</f>
        <v/>
      </c>
      <c r="I242" s="16" t="str">
        <f>IF($A242="","",$A242+7)</f>
        <v/>
      </c>
      <c r="J242" s="7"/>
    </row>
    <row r="243">
      <c r="A243" s="8"/>
      <c r="B243" s="7"/>
      <c r="C243" s="7"/>
      <c r="D243" s="7"/>
      <c r="E243" s="7"/>
      <c r="F243" s="7"/>
      <c r="G243" s="7"/>
      <c r="H243" s="16" t="str">
        <f>IF($A243="","",$A243+3)</f>
        <v/>
      </c>
      <c r="I243" s="16" t="str">
        <f>IF($A243="","",$A243+7)</f>
        <v/>
      </c>
      <c r="J243" s="7"/>
    </row>
    <row r="244">
      <c r="A244" s="8"/>
      <c r="B244" s="7"/>
      <c r="C244" s="7"/>
      <c r="D244" s="7"/>
      <c r="E244" s="7"/>
      <c r="F244" s="7"/>
      <c r="G244" s="7"/>
      <c r="H244" s="16" t="str">
        <f>IF($A244="","",$A244+3)</f>
        <v/>
      </c>
      <c r="I244" s="16" t="str">
        <f>IF($A244="","",$A244+7)</f>
        <v/>
      </c>
      <c r="J244" s="7"/>
    </row>
    <row r="245">
      <c r="A245" s="8"/>
      <c r="B245" s="7"/>
      <c r="C245" s="7"/>
      <c r="D245" s="7"/>
      <c r="E245" s="7"/>
      <c r="F245" s="7"/>
      <c r="G245" s="7"/>
      <c r="H245" s="16" t="str">
        <f>IF($A245="","",$A245+3)</f>
        <v/>
      </c>
      <c r="I245" s="16" t="str">
        <f>IF($A245="","",$A245+7)</f>
        <v/>
      </c>
      <c r="J245" s="7"/>
    </row>
    <row r="246">
      <c r="A246" s="8"/>
      <c r="B246" s="7"/>
      <c r="C246" s="7"/>
      <c r="D246" s="7"/>
      <c r="E246" s="7"/>
      <c r="F246" s="7"/>
      <c r="G246" s="7"/>
      <c r="H246" s="16" t="str">
        <f>IF($A246="","",$A246+3)</f>
        <v/>
      </c>
      <c r="I246" s="16" t="str">
        <f>IF($A246="","",$A246+7)</f>
        <v/>
      </c>
      <c r="J246" s="7"/>
    </row>
    <row r="247">
      <c r="A247" s="8"/>
      <c r="B247" s="7"/>
      <c r="C247" s="7"/>
      <c r="D247" s="7"/>
      <c r="E247" s="7"/>
      <c r="F247" s="7"/>
      <c r="G247" s="7"/>
      <c r="H247" s="16" t="str">
        <f>IF($A247="","",$A247+3)</f>
        <v/>
      </c>
      <c r="I247" s="16" t="str">
        <f>IF($A247="","",$A247+7)</f>
        <v/>
      </c>
      <c r="J247" s="7"/>
    </row>
    <row r="248">
      <c r="A248" s="8"/>
      <c r="B248" s="7"/>
      <c r="C248" s="7"/>
      <c r="D248" s="7"/>
      <c r="E248" s="7"/>
      <c r="F248" s="7"/>
      <c r="G248" s="7"/>
      <c r="H248" s="16" t="str">
        <f>IF($A248="","",$A248+3)</f>
        <v/>
      </c>
      <c r="I248" s="16" t="str">
        <f>IF($A248="","",$A248+7)</f>
        <v/>
      </c>
      <c r="J248" s="7"/>
    </row>
    <row r="249">
      <c r="A249" s="8"/>
      <c r="B249" s="7"/>
      <c r="C249" s="7"/>
      <c r="D249" s="7"/>
      <c r="E249" s="7"/>
      <c r="F249" s="7"/>
      <c r="G249" s="7"/>
      <c r="H249" s="16" t="str">
        <f>IF($A249="","",$A249+3)</f>
        <v/>
      </c>
      <c r="I249" s="16" t="str">
        <f>IF($A249="","",$A249+7)</f>
        <v/>
      </c>
      <c r="J249" s="7"/>
    </row>
    <row r="250">
      <c r="A250" s="8"/>
      <c r="B250" s="7"/>
      <c r="C250" s="7"/>
      <c r="D250" s="7"/>
      <c r="E250" s="7"/>
      <c r="F250" s="7"/>
      <c r="G250" s="7"/>
      <c r="H250" s="16" t="str">
        <f>IF($A250="","",$A250+3)</f>
        <v/>
      </c>
      <c r="I250" s="16" t="str">
        <f>IF($A250="","",$A250+7)</f>
        <v/>
      </c>
      <c r="J250" s="7"/>
    </row>
    <row r="251">
      <c r="A251" s="8"/>
      <c r="B251" s="7"/>
      <c r="C251" s="7"/>
      <c r="D251" s="7"/>
      <c r="E251" s="7"/>
      <c r="F251" s="7"/>
      <c r="G251" s="7"/>
      <c r="H251" s="16" t="str">
        <f>IF($A251="","",$A251+3)</f>
        <v/>
      </c>
      <c r="I251" s="16" t="str">
        <f>IF($A251="","",$A251+7)</f>
        <v/>
      </c>
      <c r="J251" s="7"/>
    </row>
    <row r="252">
      <c r="A252" s="8"/>
      <c r="B252" s="7"/>
      <c r="C252" s="7"/>
      <c r="D252" s="7"/>
      <c r="E252" s="7"/>
      <c r="F252" s="7"/>
      <c r="G252" s="7"/>
      <c r="H252" s="16" t="str">
        <f>IF($A252="","",$A252+3)</f>
        <v/>
      </c>
      <c r="I252" s="16" t="str">
        <f>IF($A252="","",$A252+7)</f>
        <v/>
      </c>
      <c r="J252" s="7"/>
    </row>
    <row r="253">
      <c r="A253" s="8"/>
      <c r="B253" s="7"/>
      <c r="C253" s="7"/>
      <c r="D253" s="7"/>
      <c r="E253" s="7"/>
      <c r="F253" s="7"/>
      <c r="G253" s="7"/>
      <c r="H253" s="16" t="str">
        <f>IF($A253="","",$A253+3)</f>
        <v/>
      </c>
      <c r="I253" s="16" t="str">
        <f>IF($A253="","",$A253+7)</f>
        <v/>
      </c>
      <c r="J253" s="7"/>
    </row>
    <row r="254">
      <c r="A254" s="8"/>
      <c r="B254" s="7"/>
      <c r="C254" s="7"/>
      <c r="D254" s="7"/>
      <c r="E254" s="7"/>
      <c r="F254" s="7"/>
      <c r="G254" s="7"/>
      <c r="H254" s="16" t="str">
        <f>IF($A254="","",$A254+3)</f>
        <v/>
      </c>
      <c r="I254" s="16" t="str">
        <f>IF($A254="","",$A254+7)</f>
        <v/>
      </c>
      <c r="J254" s="7"/>
    </row>
    <row r="255">
      <c r="A255" s="8"/>
      <c r="B255" s="7"/>
      <c r="C255" s="7"/>
      <c r="D255" s="7"/>
      <c r="E255" s="7"/>
      <c r="F255" s="7"/>
      <c r="G255" s="7"/>
      <c r="H255" s="16" t="str">
        <f>IF($A255="","",$A255+3)</f>
        <v/>
      </c>
      <c r="I255" s="16" t="str">
        <f>IF($A255="","",$A255+7)</f>
        <v/>
      </c>
      <c r="J255" s="7"/>
    </row>
    <row r="256">
      <c r="A256" s="8"/>
      <c r="B256" s="7"/>
      <c r="C256" s="7"/>
      <c r="D256" s="7"/>
      <c r="E256" s="7"/>
      <c r="F256" s="7"/>
      <c r="G256" s="7"/>
      <c r="H256" s="16" t="str">
        <f>IF($A256="","",$A256+3)</f>
        <v/>
      </c>
      <c r="I256" s="16" t="str">
        <f>IF($A256="","",$A256+7)</f>
        <v/>
      </c>
      <c r="J256" s="7"/>
    </row>
    <row r="257">
      <c r="A257" s="8"/>
      <c r="B257" s="7"/>
      <c r="C257" s="7"/>
      <c r="D257" s="7"/>
      <c r="E257" s="7"/>
      <c r="F257" s="7"/>
      <c r="G257" s="7"/>
      <c r="H257" s="16" t="str">
        <f>IF($A257="","",$A257+3)</f>
        <v/>
      </c>
      <c r="I257" s="16" t="str">
        <f>IF($A257="","",$A257+7)</f>
        <v/>
      </c>
      <c r="J257" s="7"/>
    </row>
    <row r="258">
      <c r="A258" s="8"/>
      <c r="B258" s="7"/>
      <c r="C258" s="7"/>
      <c r="D258" s="7"/>
      <c r="E258" s="7"/>
      <c r="F258" s="7"/>
      <c r="G258" s="7"/>
      <c r="H258" s="16" t="str">
        <f>IF($A258="","",$A258+3)</f>
        <v/>
      </c>
      <c r="I258" s="16" t="str">
        <f>IF($A258="","",$A258+7)</f>
        <v/>
      </c>
      <c r="J258" s="7"/>
    </row>
    <row r="259">
      <c r="A259" s="8"/>
      <c r="B259" s="7"/>
      <c r="C259" s="7"/>
      <c r="D259" s="7"/>
      <c r="E259" s="7"/>
      <c r="F259" s="7"/>
      <c r="G259" s="7"/>
      <c r="H259" s="16" t="str">
        <f>IF($A259="","",$A259+3)</f>
        <v/>
      </c>
      <c r="I259" s="16" t="str">
        <f>IF($A259="","",$A259+7)</f>
        <v/>
      </c>
      <c r="J259" s="7"/>
    </row>
    <row r="260">
      <c r="A260" s="8"/>
      <c r="B260" s="7"/>
      <c r="C260" s="7"/>
      <c r="D260" s="7"/>
      <c r="E260" s="7"/>
      <c r="F260" s="7"/>
      <c r="G260" s="7"/>
      <c r="H260" s="16" t="str">
        <f>IF($A260="","",$A260+3)</f>
        <v/>
      </c>
      <c r="I260" s="16" t="str">
        <f>IF($A260="","",$A260+7)</f>
        <v/>
      </c>
      <c r="J260" s="7"/>
    </row>
    <row r="261">
      <c r="A261" s="8"/>
      <c r="B261" s="7"/>
      <c r="C261" s="7"/>
      <c r="D261" s="7"/>
      <c r="E261" s="7"/>
      <c r="F261" s="7"/>
      <c r="G261" s="7"/>
      <c r="H261" s="16" t="str">
        <f>IF($A261="","",$A261+3)</f>
        <v/>
      </c>
      <c r="I261" s="16" t="str">
        <f>IF($A261="","",$A261+7)</f>
        <v/>
      </c>
      <c r="J261" s="7"/>
    </row>
    <row r="262">
      <c r="A262" s="8"/>
      <c r="B262" s="7"/>
      <c r="C262" s="7"/>
      <c r="D262" s="7"/>
      <c r="E262" s="7"/>
      <c r="F262" s="7"/>
      <c r="G262" s="7"/>
      <c r="H262" s="16" t="str">
        <f>IF($A262="","",$A262+3)</f>
        <v/>
      </c>
      <c r="I262" s="16" t="str">
        <f>IF($A262="","",$A262+7)</f>
        <v/>
      </c>
      <c r="J262" s="7"/>
    </row>
    <row r="263">
      <c r="A263" s="8"/>
      <c r="B263" s="7"/>
      <c r="C263" s="7"/>
      <c r="D263" s="7"/>
      <c r="E263" s="7"/>
      <c r="F263" s="7"/>
      <c r="G263" s="7"/>
      <c r="H263" s="16" t="str">
        <f>IF($A263="","",$A263+3)</f>
        <v/>
      </c>
      <c r="I263" s="16" t="str">
        <f>IF($A263="","",$A263+7)</f>
        <v/>
      </c>
      <c r="J263" s="7"/>
    </row>
    <row r="264">
      <c r="A264" s="8"/>
      <c r="B264" s="7"/>
      <c r="C264" s="7"/>
      <c r="D264" s="7"/>
      <c r="E264" s="7"/>
      <c r="F264" s="7"/>
      <c r="G264" s="7"/>
      <c r="H264" s="16" t="str">
        <f>IF($A264="","",$A264+3)</f>
        <v/>
      </c>
      <c r="I264" s="16" t="str">
        <f>IF($A264="","",$A264+7)</f>
        <v/>
      </c>
      <c r="J264" s="7"/>
    </row>
    <row r="265">
      <c r="A265" s="8"/>
      <c r="B265" s="7"/>
      <c r="C265" s="7"/>
      <c r="D265" s="7"/>
      <c r="E265" s="7"/>
      <c r="F265" s="7"/>
      <c r="G265" s="7"/>
      <c r="H265" s="16" t="str">
        <f>IF($A265="","",$A265+3)</f>
        <v/>
      </c>
      <c r="I265" s="16" t="str">
        <f>IF($A265="","",$A265+7)</f>
        <v/>
      </c>
      <c r="J265" s="7"/>
    </row>
    <row r="266">
      <c r="A266" s="8"/>
      <c r="B266" s="7"/>
      <c r="C266" s="7"/>
      <c r="D266" s="7"/>
      <c r="E266" s="7"/>
      <c r="F266" s="7"/>
      <c r="G266" s="7"/>
      <c r="H266" s="16" t="str">
        <f>IF($A266="","",$A266+3)</f>
        <v/>
      </c>
      <c r="I266" s="16" t="str">
        <f>IF($A266="","",$A266+7)</f>
        <v/>
      </c>
      <c r="J266" s="7"/>
    </row>
    <row r="267">
      <c r="A267" s="8"/>
      <c r="B267" s="7"/>
      <c r="C267" s="7"/>
      <c r="D267" s="7"/>
      <c r="E267" s="7"/>
      <c r="F267" s="7"/>
      <c r="G267" s="7"/>
      <c r="H267" s="16" t="str">
        <f>IF($A267="","",$A267+3)</f>
        <v/>
      </c>
      <c r="I267" s="16" t="str">
        <f>IF($A267="","",$A267+7)</f>
        <v/>
      </c>
      <c r="J267" s="7"/>
    </row>
    <row r="268">
      <c r="A268" s="8"/>
      <c r="B268" s="7"/>
      <c r="C268" s="7"/>
      <c r="D268" s="7"/>
      <c r="E268" s="7"/>
      <c r="F268" s="7"/>
      <c r="G268" s="7"/>
      <c r="H268" s="16" t="str">
        <f>IF($A268="","",$A268+3)</f>
        <v/>
      </c>
      <c r="I268" s="16" t="str">
        <f>IF($A268="","",$A268+7)</f>
        <v/>
      </c>
      <c r="J268" s="7"/>
    </row>
    <row r="269">
      <c r="A269" s="8"/>
      <c r="B269" s="7"/>
      <c r="C269" s="7"/>
      <c r="D269" s="7"/>
      <c r="E269" s="7"/>
      <c r="F269" s="7"/>
      <c r="G269" s="7"/>
      <c r="H269" s="16" t="str">
        <f>IF($A269="","",$A269+3)</f>
        <v/>
      </c>
      <c r="I269" s="16" t="str">
        <f>IF($A269="","",$A269+7)</f>
        <v/>
      </c>
      <c r="J269" s="7"/>
    </row>
    <row r="270">
      <c r="A270" s="8"/>
      <c r="B270" s="7"/>
      <c r="C270" s="7"/>
      <c r="D270" s="7"/>
      <c r="E270" s="7"/>
      <c r="F270" s="7"/>
      <c r="G270" s="7"/>
      <c r="H270" s="16" t="str">
        <f>IF($A270="","",$A270+3)</f>
        <v/>
      </c>
      <c r="I270" s="16" t="str">
        <f>IF($A270="","",$A270+7)</f>
        <v/>
      </c>
      <c r="J270" s="7"/>
    </row>
    <row r="271">
      <c r="A271" s="8"/>
      <c r="B271" s="7"/>
      <c r="C271" s="7"/>
      <c r="D271" s="7"/>
      <c r="E271" s="7"/>
      <c r="F271" s="7"/>
      <c r="G271" s="7"/>
      <c r="H271" s="16" t="str">
        <f>IF($A271="","",$A271+3)</f>
        <v/>
      </c>
      <c r="I271" s="16" t="str">
        <f>IF($A271="","",$A271+7)</f>
        <v/>
      </c>
      <c r="J271" s="7"/>
    </row>
    <row r="272">
      <c r="A272" s="8"/>
      <c r="B272" s="7"/>
      <c r="C272" s="7"/>
      <c r="D272" s="7"/>
      <c r="E272" s="7"/>
      <c r="F272" s="7"/>
      <c r="G272" s="7"/>
      <c r="H272" s="16" t="str">
        <f>IF($A272="","",$A272+3)</f>
        <v/>
      </c>
      <c r="I272" s="16" t="str">
        <f>IF($A272="","",$A272+7)</f>
        <v/>
      </c>
      <c r="J272" s="7"/>
    </row>
    <row r="273">
      <c r="A273" s="8"/>
      <c r="B273" s="7"/>
      <c r="C273" s="7"/>
      <c r="D273" s="7"/>
      <c r="E273" s="7"/>
      <c r="F273" s="7"/>
      <c r="G273" s="7"/>
      <c r="H273" s="16" t="str">
        <f>IF($A273="","",$A273+3)</f>
        <v/>
      </c>
      <c r="I273" s="16" t="str">
        <f>IF($A273="","",$A273+7)</f>
        <v/>
      </c>
      <c r="J273" s="7"/>
    </row>
    <row r="274">
      <c r="A274" s="8"/>
      <c r="B274" s="7"/>
      <c r="C274" s="7"/>
      <c r="D274" s="7"/>
      <c r="E274" s="7"/>
      <c r="F274" s="7"/>
      <c r="G274" s="7"/>
      <c r="H274" s="16" t="str">
        <f>IF($A274="","",$A274+3)</f>
        <v/>
      </c>
      <c r="I274" s="16" t="str">
        <f>IF($A274="","",$A274+7)</f>
        <v/>
      </c>
      <c r="J274" s="7"/>
    </row>
    <row r="275">
      <c r="A275" s="8"/>
      <c r="B275" s="7"/>
      <c r="C275" s="7"/>
      <c r="D275" s="7"/>
      <c r="E275" s="7"/>
      <c r="F275" s="7"/>
      <c r="G275" s="7"/>
      <c r="H275" s="16" t="str">
        <f>IF($A275="","",$A275+3)</f>
        <v/>
      </c>
      <c r="I275" s="16" t="str">
        <f>IF($A275="","",$A275+7)</f>
        <v/>
      </c>
      <c r="J275" s="7"/>
    </row>
    <row r="276">
      <c r="A276" s="8"/>
      <c r="B276" s="7"/>
      <c r="C276" s="7"/>
      <c r="D276" s="7"/>
      <c r="E276" s="7"/>
      <c r="F276" s="7"/>
      <c r="G276" s="7"/>
      <c r="H276" s="16" t="str">
        <f>IF($A276="","",$A276+3)</f>
        <v/>
      </c>
      <c r="I276" s="16" t="str">
        <f>IF($A276="","",$A276+7)</f>
        <v/>
      </c>
      <c r="J276" s="7"/>
    </row>
    <row r="277">
      <c r="A277" s="8"/>
      <c r="B277" s="7"/>
      <c r="C277" s="7"/>
      <c r="D277" s="7"/>
      <c r="E277" s="7"/>
      <c r="F277" s="7"/>
      <c r="G277" s="7"/>
      <c r="H277" s="16" t="str">
        <f>IF($A277="","",$A277+3)</f>
        <v/>
      </c>
      <c r="I277" s="16" t="str">
        <f>IF($A277="","",$A277+7)</f>
        <v/>
      </c>
      <c r="J277" s="7"/>
    </row>
    <row r="278">
      <c r="A278" s="8"/>
      <c r="B278" s="7"/>
      <c r="C278" s="7"/>
      <c r="D278" s="7"/>
      <c r="E278" s="7"/>
      <c r="F278" s="7"/>
      <c r="G278" s="7"/>
      <c r="H278" s="16" t="str">
        <f>IF($A278="","",$A278+3)</f>
        <v/>
      </c>
      <c r="I278" s="16" t="str">
        <f>IF($A278="","",$A278+7)</f>
        <v/>
      </c>
      <c r="J278" s="7"/>
    </row>
    <row r="279">
      <c r="A279" s="8"/>
      <c r="B279" s="7"/>
      <c r="C279" s="7"/>
      <c r="D279" s="7"/>
      <c r="E279" s="7"/>
      <c r="F279" s="7"/>
      <c r="G279" s="7"/>
      <c r="H279" s="16" t="str">
        <f>IF($A279="","",$A279+3)</f>
        <v/>
      </c>
      <c r="I279" s="16" t="str">
        <f>IF($A279="","",$A279+7)</f>
        <v/>
      </c>
      <c r="J279" s="7"/>
    </row>
    <row r="280">
      <c r="A280" s="8"/>
      <c r="B280" s="7"/>
      <c r="C280" s="7"/>
      <c r="D280" s="7"/>
      <c r="E280" s="7"/>
      <c r="F280" s="7"/>
      <c r="G280" s="7"/>
      <c r="H280" s="16" t="str">
        <f>IF($A280="","",$A280+3)</f>
        <v/>
      </c>
      <c r="I280" s="16" t="str">
        <f>IF($A280="","",$A280+7)</f>
        <v/>
      </c>
      <c r="J280" s="7"/>
    </row>
    <row r="281">
      <c r="A281" s="8"/>
      <c r="B281" s="7"/>
      <c r="C281" s="7"/>
      <c r="D281" s="7"/>
      <c r="E281" s="7"/>
      <c r="F281" s="7"/>
      <c r="G281" s="7"/>
      <c r="H281" s="16" t="str">
        <f>IF($A281="","",$A281+3)</f>
        <v/>
      </c>
      <c r="I281" s="16" t="str">
        <f>IF($A281="","",$A281+7)</f>
        <v/>
      </c>
      <c r="J281" s="7"/>
    </row>
    <row r="282">
      <c r="A282" s="8"/>
      <c r="B282" s="7"/>
      <c r="C282" s="7"/>
      <c r="D282" s="7"/>
      <c r="E282" s="7"/>
      <c r="F282" s="7"/>
      <c r="G282" s="7"/>
      <c r="H282" s="16" t="str">
        <f>IF($A282="","",$A282+3)</f>
        <v/>
      </c>
      <c r="I282" s="16" t="str">
        <f>IF($A282="","",$A282+7)</f>
        <v/>
      </c>
      <c r="J282" s="7"/>
    </row>
    <row r="283">
      <c r="A283" s="8"/>
      <c r="B283" s="7"/>
      <c r="C283" s="7"/>
      <c r="D283" s="7"/>
      <c r="E283" s="7"/>
      <c r="F283" s="7"/>
      <c r="G283" s="7"/>
      <c r="H283" s="16" t="str">
        <f>IF($A283="","",$A283+3)</f>
        <v/>
      </c>
      <c r="I283" s="16" t="str">
        <f>IF($A283="","",$A283+7)</f>
        <v/>
      </c>
      <c r="J283" s="7"/>
    </row>
    <row r="284">
      <c r="A284" s="8"/>
      <c r="B284" s="7"/>
      <c r="C284" s="7"/>
      <c r="D284" s="7"/>
      <c r="E284" s="7"/>
      <c r="F284" s="7"/>
      <c r="G284" s="7"/>
      <c r="H284" s="16" t="str">
        <f>IF($A284="","",$A284+3)</f>
        <v/>
      </c>
      <c r="I284" s="16" t="str">
        <f>IF($A284="","",$A284+7)</f>
        <v/>
      </c>
      <c r="J284" s="7"/>
    </row>
    <row r="285">
      <c r="A285" s="8"/>
      <c r="B285" s="7"/>
      <c r="C285" s="7"/>
      <c r="D285" s="7"/>
      <c r="E285" s="7"/>
      <c r="F285" s="7"/>
      <c r="G285" s="7"/>
      <c r="H285" s="16" t="str">
        <f>IF($A285="","",$A285+3)</f>
        <v/>
      </c>
      <c r="I285" s="16" t="str">
        <f>IF($A285="","",$A285+7)</f>
        <v/>
      </c>
      <c r="J285" s="7"/>
    </row>
    <row r="286">
      <c r="A286" s="8"/>
      <c r="B286" s="7"/>
      <c r="C286" s="7"/>
      <c r="D286" s="7"/>
      <c r="E286" s="7"/>
      <c r="F286" s="7"/>
      <c r="G286" s="7"/>
      <c r="H286" s="16" t="str">
        <f>IF($A286="","",$A286+3)</f>
        <v/>
      </c>
      <c r="I286" s="16" t="str">
        <f>IF($A286="","",$A286+7)</f>
        <v/>
      </c>
      <c r="J286" s="7"/>
    </row>
    <row r="287">
      <c r="A287" s="8"/>
      <c r="B287" s="7"/>
      <c r="C287" s="7"/>
      <c r="D287" s="7"/>
      <c r="E287" s="7"/>
      <c r="F287" s="7"/>
      <c r="G287" s="7"/>
      <c r="H287" s="16" t="str">
        <f>IF($A287="","",$A287+3)</f>
        <v/>
      </c>
      <c r="I287" s="16" t="str">
        <f>IF($A287="","",$A287+7)</f>
        <v/>
      </c>
      <c r="J287" s="7"/>
    </row>
    <row r="288">
      <c r="A288" s="8"/>
      <c r="B288" s="7"/>
      <c r="C288" s="7"/>
      <c r="D288" s="7"/>
      <c r="E288" s="7"/>
      <c r="F288" s="7"/>
      <c r="G288" s="7"/>
      <c r="H288" s="16" t="str">
        <f>IF($A288="","",$A288+3)</f>
        <v/>
      </c>
      <c r="I288" s="16" t="str">
        <f>IF($A288="","",$A288+7)</f>
        <v/>
      </c>
      <c r="J288" s="7"/>
    </row>
    <row r="289">
      <c r="A289" s="8"/>
      <c r="B289" s="7"/>
      <c r="C289" s="7"/>
      <c r="D289" s="7"/>
      <c r="E289" s="7"/>
      <c r="F289" s="7"/>
      <c r="G289" s="7"/>
      <c r="H289" s="16" t="str">
        <f>IF($A289="","",$A289+3)</f>
        <v/>
      </c>
      <c r="I289" s="16" t="str">
        <f>IF($A289="","",$A289+7)</f>
        <v/>
      </c>
      <c r="J289" s="7"/>
    </row>
    <row r="290">
      <c r="A290" s="8"/>
      <c r="B290" s="7"/>
      <c r="C290" s="7"/>
      <c r="D290" s="7"/>
      <c r="E290" s="7"/>
      <c r="F290" s="7"/>
      <c r="G290" s="7"/>
      <c r="H290" s="16" t="str">
        <f>IF($A290="","",$A290+3)</f>
        <v/>
      </c>
      <c r="I290" s="16" t="str">
        <f>IF($A290="","",$A290+7)</f>
        <v/>
      </c>
      <c r="J290" s="7"/>
    </row>
    <row r="291">
      <c r="A291" s="8"/>
      <c r="B291" s="7"/>
      <c r="C291" s="7"/>
      <c r="D291" s="7"/>
      <c r="E291" s="7"/>
      <c r="F291" s="7"/>
      <c r="G291" s="7"/>
      <c r="H291" s="16" t="str">
        <f>IF($A291="","",$A291+3)</f>
        <v/>
      </c>
      <c r="I291" s="16" t="str">
        <f>IF($A291="","",$A291+7)</f>
        <v/>
      </c>
      <c r="J291" s="7"/>
    </row>
    <row r="292">
      <c r="A292" s="8"/>
      <c r="B292" s="7"/>
      <c r="C292" s="7"/>
      <c r="D292" s="7"/>
      <c r="E292" s="7"/>
      <c r="F292" s="7"/>
      <c r="G292" s="7"/>
      <c r="H292" s="16" t="str">
        <f>IF($A292="","",$A292+3)</f>
        <v/>
      </c>
      <c r="I292" s="16" t="str">
        <f>IF($A292="","",$A292+7)</f>
        <v/>
      </c>
      <c r="J292" s="7"/>
    </row>
    <row r="293">
      <c r="A293" s="8"/>
      <c r="B293" s="7"/>
      <c r="C293" s="7"/>
      <c r="D293" s="7"/>
      <c r="E293" s="7"/>
      <c r="F293" s="7"/>
      <c r="G293" s="7"/>
      <c r="H293" s="16" t="str">
        <f>IF($A293="","",$A293+3)</f>
        <v/>
      </c>
      <c r="I293" s="16" t="str">
        <f>IF($A293="","",$A293+7)</f>
        <v/>
      </c>
      <c r="J293" s="7"/>
    </row>
    <row r="294">
      <c r="A294" s="8"/>
      <c r="B294" s="7"/>
      <c r="C294" s="7"/>
      <c r="D294" s="7"/>
      <c r="E294" s="7"/>
      <c r="F294" s="7"/>
      <c r="G294" s="7"/>
      <c r="H294" s="16" t="str">
        <f>IF($A294="","",$A294+3)</f>
        <v/>
      </c>
      <c r="I294" s="16" t="str">
        <f>IF($A294="","",$A294+7)</f>
        <v/>
      </c>
      <c r="J294" s="7"/>
    </row>
    <row r="295">
      <c r="A295" s="8"/>
      <c r="B295" s="7"/>
      <c r="C295" s="7"/>
      <c r="D295" s="7"/>
      <c r="E295" s="7"/>
      <c r="F295" s="7"/>
      <c r="G295" s="7"/>
      <c r="H295" s="16" t="str">
        <f>IF($A295="","",$A295+3)</f>
        <v/>
      </c>
      <c r="I295" s="16" t="str">
        <f>IF($A295="","",$A295+7)</f>
        <v/>
      </c>
      <c r="J295" s="7"/>
    </row>
    <row r="296">
      <c r="A296" s="8"/>
      <c r="B296" s="7"/>
      <c r="C296" s="7"/>
      <c r="D296" s="7"/>
      <c r="E296" s="7"/>
      <c r="F296" s="7"/>
      <c r="G296" s="7"/>
      <c r="H296" s="16" t="str">
        <f>IF($A296="","",$A296+3)</f>
        <v/>
      </c>
      <c r="I296" s="16" t="str">
        <f>IF($A296="","",$A296+7)</f>
        <v/>
      </c>
      <c r="J296" s="7"/>
    </row>
    <row r="297">
      <c r="A297" s="8"/>
      <c r="B297" s="7"/>
      <c r="C297" s="7"/>
      <c r="D297" s="7"/>
      <c r="E297" s="7"/>
      <c r="F297" s="7"/>
      <c r="G297" s="7"/>
      <c r="H297" s="16" t="str">
        <f>IF($A297="","",$A297+3)</f>
        <v/>
      </c>
      <c r="I297" s="16" t="str">
        <f>IF($A297="","",$A297+7)</f>
        <v/>
      </c>
      <c r="J297" s="7"/>
    </row>
    <row r="298">
      <c r="A298" s="8"/>
      <c r="B298" s="7"/>
      <c r="C298" s="7"/>
      <c r="D298" s="7"/>
      <c r="E298" s="7"/>
      <c r="F298" s="7"/>
      <c r="G298" s="7"/>
      <c r="H298" s="16" t="str">
        <f>IF($A298="","",$A298+3)</f>
        <v/>
      </c>
      <c r="I298" s="16" t="str">
        <f>IF($A298="","",$A298+7)</f>
        <v/>
      </c>
      <c r="J298" s="7"/>
    </row>
    <row r="299">
      <c r="A299" s="8"/>
      <c r="B299" s="7"/>
      <c r="C299" s="7"/>
      <c r="D299" s="7"/>
      <c r="E299" s="7"/>
      <c r="F299" s="7"/>
      <c r="G299" s="7"/>
      <c r="H299" s="16" t="str">
        <f>IF($A299="","",$A299+3)</f>
        <v/>
      </c>
      <c r="I299" s="16" t="str">
        <f>IF($A299="","",$A299+7)</f>
        <v/>
      </c>
      <c r="J299" s="7"/>
    </row>
    <row r="300">
      <c r="A300" s="8"/>
      <c r="B300" s="7"/>
      <c r="C300" s="7"/>
      <c r="D300" s="7"/>
      <c r="E300" s="7"/>
      <c r="F300" s="7"/>
      <c r="G300" s="7"/>
      <c r="H300" s="16" t="str">
        <f>IF($A300="","",$A300+3)</f>
        <v/>
      </c>
      <c r="I300" s="16" t="str">
        <f>IF($A300="","",$A300+7)</f>
        <v/>
      </c>
      <c r="J300" s="7"/>
    </row>
    <row r="301">
      <c r="A301" s="8"/>
      <c r="B301" s="7"/>
      <c r="C301" s="7"/>
      <c r="D301" s="7"/>
      <c r="E301" s="7"/>
      <c r="F301" s="7"/>
      <c r="G301" s="7"/>
      <c r="H301" s="16" t="str">
        <f>IF($A301="","",$A301+3)</f>
        <v/>
      </c>
      <c r="I301" s="16" t="str">
        <f>IF($A301="","",$A301+7)</f>
        <v/>
      </c>
      <c r="J301" s="7"/>
    </row>
    <row r="302">
      <c r="A302" s="8"/>
      <c r="B302" s="7"/>
      <c r="C302" s="7"/>
      <c r="D302" s="7"/>
      <c r="E302" s="7"/>
      <c r="F302" s="7"/>
      <c r="G302" s="7"/>
      <c r="H302" s="16" t="str">
        <f>IF($A302="","",$A302+3)</f>
        <v/>
      </c>
      <c r="I302" s="16" t="str">
        <f>IF($A302="","",$A302+7)</f>
        <v/>
      </c>
      <c r="J302" s="7"/>
    </row>
    <row r="303">
      <c r="A303" s="8"/>
      <c r="B303" s="7"/>
      <c r="C303" s="7"/>
      <c r="D303" s="7"/>
      <c r="E303" s="7"/>
      <c r="F303" s="7"/>
      <c r="G303" s="7"/>
      <c r="H303" s="16" t="str">
        <f>IF($A303="","",$A303+3)</f>
        <v/>
      </c>
      <c r="I303" s="16" t="str">
        <f>IF($A303="","",$A303+7)</f>
        <v/>
      </c>
      <c r="J303" s="7"/>
    </row>
  </sheetData>
  <dataValidations count="3">
    <dataValidation type="list" allowBlank="1" showErrorMessage="1" sqref="E4:E303">
      <formula1>"Konu bilinmiyor,Formül hatası,İşlem hatası,Kavram karışıklığı,Algoritma mantığı hatası,Soruyu yanlış yorumlama,Dikkat hatası"</formula1>
    </dataValidation>
    <dataValidation type="list" allowBlank="1" showErrorMessage="1" sqref="B4:B303">
      <formula1>"BIO110,CMPE371,CMPE327,CMPE421,CMPE453,CMPE499"</formula1>
    </dataValidation>
    <dataValidation type="list" allowBlank="1" showErrorMessage="1" sqref="J4:J303">
      <formula1>"Yes,No"</formula1>
    </dataValidation>
  </dataValidations>
  <pageMargins left="0.5" right="0.5" top="0.6" bottom="0.6" header="0.3" footer="0.3"/>
  <pageSetup paperSize="9" orientation="landscape"/>
</worksheet>
</file>

<file path=xl/worksheets/sheet9.xml><?xml version="1.0" encoding="utf-8"?>
<worksheet xmlns="http://schemas.openxmlformats.org/spreadsheetml/2006/main">
  <sheetPr>
    <tabColor rgb="FF37474F"/>
  </sheetPr>
  <dimension ref="A1:J87"/>
  <sheetViews>
    <sheetView workbookViewId="0" showGridLines="0">
      <pane ySplit="4" topLeftCell="A5" activePane="bottomLeft" state="frozen"/>
    </sheetView>
  </sheetViews>
  <sheetFormatPr defaultRowHeight="15"/>
  <cols>
    <col min="1" max="1" width="11" customWidth="1"/>
    <col min="2" max="2" width="22" customWidth="1"/>
    <col min="3" max="3" width="16" customWidth="1"/>
    <col min="4" max="4" width="46" customWidth="1"/>
    <col min="5" max="5" width="10" customWidth="1"/>
    <col min="6" max="6" width="10" customWidth="1"/>
    <col min="7" max="7" width="50" customWidth="1"/>
    <col min="8" max="8" width="12" customWidth="1"/>
    <col min="9" max="9" width="13" customWidth="1"/>
    <col min="10" max="10" width="13" customWidth="1"/>
  </cols>
  <sheetData>
    <row r="1">
      <c r="A1" s="10" t="inlineStr">
        <is>
          <t xml:space="preserve">SLIDE_COVERAGE_MATRIX — slayt/dosya kapsama matrisi</t>
        </is>
      </c>
    </row>
    <row r="2">
      <c r="A2" s="11" t="inlineStr">
        <is>
          <t xml:space="preserve">Hiç slayt/PDF paylaşılmadı → tüm satırlar 'Materyal bekleniyor'. Dosyalar gelince Dosya ve Sayfa aralığı sütunlarını doldur; hiçbir sayfa/içerik UYDURULMADI.</t>
        </is>
      </c>
    </row>
    <row r="4">
      <c r="A4" s="1" t="inlineStr">
        <is>
          <t xml:space="preserve">Ders</t>
        </is>
      </c>
      <c r="B4" s="1" t="inlineStr">
        <is>
          <t xml:space="preserve">Dosya</t>
        </is>
      </c>
      <c r="C4" s="1" t="inlineStr">
        <is>
          <t xml:space="preserve">Sayfa/slayt aralığı</t>
        </is>
      </c>
      <c r="D4" s="1" t="inlineStr">
        <is>
          <t xml:space="preserve">Syllabus konusu</t>
        </is>
      </c>
      <c r="E4" s="1" t="inlineStr">
        <is>
          <t xml:space="preserve">Zorluk (1–5)</t>
        </is>
      </c>
      <c r="F4" s="1" t="inlineStr">
        <is>
          <t xml:space="preserve">Tahmini dk</t>
        </is>
      </c>
      <c r="G4" s="1" t="inlineStr">
        <is>
          <t xml:space="preserve">Öğrenme çıktısı (uygulama)</t>
        </is>
      </c>
      <c r="H4" s="1" t="inlineStr">
        <is>
          <t xml:space="preserve">Çalışma tarihi</t>
        </is>
      </c>
      <c r="I4" s="1" t="inlineStr">
        <is>
          <t xml:space="preserve">Tekrar tarihi (D+1)</t>
        </is>
      </c>
      <c r="J4" s="1" t="inlineStr">
        <is>
          <t xml:space="preserve">Durum</t>
        </is>
      </c>
    </row>
    <row r="5">
      <c r="A5" s="3" t="inlineStr">
        <is>
          <t xml:space="preserve">BIO110</t>
        </is>
      </c>
      <c r="B5" s="7" t="inlineStr">
        <is>
          <t xml:space="preserve">Materyal bekleniyor</t>
        </is>
      </c>
      <c r="C5" s="7" t="inlineStr">
        <is>
          <t xml:space="preserve">—</t>
        </is>
      </c>
      <c r="D5" s="2" t="inlineStr">
        <is>
          <t xml:space="preserve">Chemical Context of Life</t>
        </is>
      </c>
      <c r="E5" s="6">
        <v>3</v>
      </c>
      <c r="F5" s="6">
        <v>75</v>
      </c>
      <c r="G5" s="2" t="inlineStr">
        <is>
          <t xml:space="preserve">15 kavram sorusu + 10 flashcard (bağ türleri tablosu)</t>
        </is>
      </c>
      <c r="H5" s="4">
        <v>46325</v>
      </c>
      <c r="I5" s="4">
        <v>46326</v>
      </c>
      <c r="J5" s="7" t="inlineStr">
        <is>
          <t xml:space="preserve">Not Started</t>
        </is>
      </c>
    </row>
    <row r="6">
      <c r="A6" s="3" t="inlineStr">
        <is>
          <t xml:space="preserve">BIO110</t>
        </is>
      </c>
      <c r="B6" s="7" t="inlineStr">
        <is>
          <t xml:space="preserve">Materyal bekleniyor</t>
        </is>
      </c>
      <c r="C6" s="7" t="inlineStr">
        <is>
          <t xml:space="preserve">—</t>
        </is>
      </c>
      <c r="D6" s="2" t="inlineStr">
        <is>
          <t xml:space="preserve">Water and Life</t>
        </is>
      </c>
      <c r="E6" s="6">
        <v>3</v>
      </c>
      <c r="F6" s="6">
        <v>70</v>
      </c>
      <c r="G6" s="2" t="inlineStr">
        <is>
          <t xml:space="preserve">15 kavram sorusu + özellik→örnek tablosu + 10 flashcard</t>
        </is>
      </c>
      <c r="H6" s="4">
        <v>46325</v>
      </c>
      <c r="I6" s="4">
        <v>46326</v>
      </c>
      <c r="J6" s="7" t="inlineStr">
        <is>
          <t xml:space="preserve">Not Started</t>
        </is>
      </c>
    </row>
    <row r="7">
      <c r="A7" s="3" t="inlineStr">
        <is>
          <t xml:space="preserve">BIO110</t>
        </is>
      </c>
      <c r="B7" s="7" t="inlineStr">
        <is>
          <t xml:space="preserve">Materyal bekleniyor</t>
        </is>
      </c>
      <c r="C7" s="7" t="inlineStr">
        <is>
          <t xml:space="preserve">—</t>
        </is>
      </c>
      <c r="D7" s="2" t="inlineStr">
        <is>
          <t xml:space="preserve">Carbon and the Molecular Diversity of Life</t>
        </is>
      </c>
      <c r="E7" s="6">
        <v>3</v>
      </c>
      <c r="F7" s="6">
        <v>60</v>
      </c>
      <c r="G7" s="2" t="inlineStr">
        <is>
          <t xml:space="preserve">Fonksiyonel grup kartları (7) + 12 izomer/grup sorusu</t>
        </is>
      </c>
      <c r="H7" s="4">
        <v>46325</v>
      </c>
      <c r="I7" s="4">
        <v>46326</v>
      </c>
      <c r="J7" s="7" t="inlineStr">
        <is>
          <t xml:space="preserve">Not Started</t>
        </is>
      </c>
    </row>
    <row r="8">
      <c r="A8" s="3" t="inlineStr">
        <is>
          <t xml:space="preserve">BIO110</t>
        </is>
      </c>
      <c r="B8" s="7" t="inlineStr">
        <is>
          <t xml:space="preserve">Materyal bekleniyor</t>
        </is>
      </c>
      <c r="C8" s="7" t="inlineStr">
        <is>
          <t xml:space="preserve">—</t>
        </is>
      </c>
      <c r="D8" s="2" t="inlineStr">
        <is>
          <t xml:space="preserve">Large Biological Molecules (carbs, lipids)</t>
        </is>
      </c>
      <c r="E8" s="6">
        <v>3</v>
      </c>
      <c r="F8" s="6">
        <v>70</v>
      </c>
      <c r="G8" s="2" t="inlineStr">
        <is>
          <t xml:space="preserve">Karşılaştırma tablosu + 15 soru</t>
        </is>
      </c>
      <c r="H8" s="4">
        <v>46326</v>
      </c>
      <c r="I8" s="4">
        <v>46327</v>
      </c>
      <c r="J8" s="7" t="inlineStr">
        <is>
          <t xml:space="preserve">Not Started</t>
        </is>
      </c>
    </row>
    <row r="9">
      <c r="A9" s="3" t="inlineStr">
        <is>
          <t xml:space="preserve">BIO110</t>
        </is>
      </c>
      <c r="B9" s="7" t="inlineStr">
        <is>
          <t xml:space="preserve">Materyal bekleniyor</t>
        </is>
      </c>
      <c r="C9" s="7" t="inlineStr">
        <is>
          <t xml:space="preserve">—</t>
        </is>
      </c>
      <c r="D9" s="2" t="inlineStr">
        <is>
          <t xml:space="preserve">Large Biological Molecules (proteins, nucleic acids)</t>
        </is>
      </c>
      <c r="E9" s="6">
        <v>3</v>
      </c>
      <c r="F9" s="6">
        <v>80</v>
      </c>
      <c r="G9" s="2" t="inlineStr">
        <is>
          <t xml:space="preserve">Protein yapı basamaklarını belleğten çiz + 15 soru</t>
        </is>
      </c>
      <c r="H9" s="4">
        <v>46326</v>
      </c>
      <c r="I9" s="4">
        <v>46327</v>
      </c>
      <c r="J9" s="7" t="inlineStr">
        <is>
          <t xml:space="preserve">Not Started</t>
        </is>
      </c>
    </row>
    <row r="10">
      <c r="A10" s="3" t="inlineStr">
        <is>
          <t xml:space="preserve">BIO110</t>
        </is>
      </c>
      <c r="B10" s="7" t="inlineStr">
        <is>
          <t xml:space="preserve">Materyal bekleniyor</t>
        </is>
      </c>
      <c r="C10" s="7" t="inlineStr">
        <is>
          <t xml:space="preserve">—</t>
        </is>
      </c>
      <c r="D10" s="2" t="inlineStr">
        <is>
          <t xml:space="preserve">A Tour of the Cell (1)</t>
        </is>
      </c>
      <c r="E10" s="6">
        <v>3</v>
      </c>
      <c r="F10" s="6">
        <v>70</v>
      </c>
      <c r="G10" s="2" t="inlineStr">
        <is>
          <t xml:space="preserve">Hücre şemasını boş çizip etiketle + 15 soru</t>
        </is>
      </c>
      <c r="H10" s="4">
        <v>46326</v>
      </c>
      <c r="I10" s="4">
        <v>46327</v>
      </c>
      <c r="J10" s="7" t="inlineStr">
        <is>
          <t xml:space="preserve">Not Started</t>
        </is>
      </c>
    </row>
    <row r="11">
      <c r="A11" s="3" t="inlineStr">
        <is>
          <t xml:space="preserve">BIO110</t>
        </is>
      </c>
      <c r="B11" s="7" t="inlineStr">
        <is>
          <t xml:space="preserve">Materyal bekleniyor</t>
        </is>
      </c>
      <c r="C11" s="7" t="inlineStr">
        <is>
          <t xml:space="preserve">—</t>
        </is>
      </c>
      <c r="D11" s="2" t="inlineStr">
        <is>
          <t xml:space="preserve">A Tour of the Cell (2)</t>
        </is>
      </c>
      <c r="E11" s="6">
        <v>3</v>
      </c>
      <c r="F11" s="6">
        <v>60</v>
      </c>
      <c r="G11" s="2" t="inlineStr">
        <is>
          <t xml:space="preserve">Organel → görev tablosu + 12 soru</t>
        </is>
      </c>
      <c r="H11" s="4">
        <v>46327</v>
      </c>
      <c r="I11" s="4">
        <v>46328</v>
      </c>
      <c r="J11" s="7" t="inlineStr">
        <is>
          <t xml:space="preserve">Not Started</t>
        </is>
      </c>
    </row>
    <row r="12">
      <c r="A12" s="3" t="inlineStr">
        <is>
          <t xml:space="preserve">BIO110</t>
        </is>
      </c>
      <c r="B12" s="7" t="inlineStr">
        <is>
          <t xml:space="preserve">Materyal bekleniyor</t>
        </is>
      </c>
      <c r="C12" s="7" t="inlineStr">
        <is>
          <t xml:space="preserve">—</t>
        </is>
      </c>
      <c r="D12" s="2" t="inlineStr">
        <is>
          <t xml:space="preserve">Membrane Structure and Function</t>
        </is>
      </c>
      <c r="E12" s="6">
        <v>3</v>
      </c>
      <c r="F12" s="6">
        <v>80</v>
      </c>
      <c r="G12" s="2" t="inlineStr">
        <is>
          <t xml:space="preserve">Ozmoz/tonisite 6 senaryo + 15 soru</t>
        </is>
      </c>
      <c r="H12" s="4">
        <v>46327</v>
      </c>
      <c r="I12" s="4">
        <v>46328</v>
      </c>
      <c r="J12" s="7" t="inlineStr">
        <is>
          <t xml:space="preserve">Not Started</t>
        </is>
      </c>
    </row>
    <row r="13">
      <c r="A13" s="3" t="inlineStr">
        <is>
          <t xml:space="preserve">BIO110</t>
        </is>
      </c>
      <c r="B13" s="7" t="inlineStr">
        <is>
          <t xml:space="preserve">Materyal bekleniyor</t>
        </is>
      </c>
      <c r="C13" s="7" t="inlineStr">
        <is>
          <t xml:space="preserve">—</t>
        </is>
      </c>
      <c r="D13" s="2" t="inlineStr">
        <is>
          <t xml:space="preserve">An Introduction to Metabolism</t>
        </is>
      </c>
      <c r="E13" s="6">
        <v>3</v>
      </c>
      <c r="F13" s="6">
        <v>80</v>
      </c>
      <c r="G13" s="2" t="inlineStr">
        <is>
          <t xml:space="preserve">Enzim grafiği yorumlama 5 soru + 15 soru</t>
        </is>
      </c>
      <c r="H13" s="4">
        <v>46327</v>
      </c>
      <c r="I13" s="4">
        <v>46328</v>
      </c>
      <c r="J13" s="7" t="inlineStr">
        <is>
          <t xml:space="preserve">Not Started</t>
        </is>
      </c>
    </row>
    <row r="14">
      <c r="A14" s="3" t="inlineStr">
        <is>
          <t xml:space="preserve">BIO110</t>
        </is>
      </c>
      <c r="B14" s="7" t="inlineStr">
        <is>
          <t xml:space="preserve">Materyal bekleniyor</t>
        </is>
      </c>
      <c r="C14" s="7" t="inlineStr">
        <is>
          <t xml:space="preserve">—</t>
        </is>
      </c>
      <c r="D14" s="2" t="inlineStr">
        <is>
          <t xml:space="preserve">Cellular Respiration</t>
        </is>
      </c>
      <c r="E14" s="6">
        <v>3</v>
      </c>
      <c r="F14" s="6">
        <v>110</v>
      </c>
      <c r="G14" s="2" t="inlineStr">
        <is>
          <t xml:space="preserve">Yolu bellekten çiz (girdi/çıktı tablosu) + 20 soru</t>
        </is>
      </c>
      <c r="H14" s="4">
        <v>46327</v>
      </c>
      <c r="I14" s="4">
        <v>46328</v>
      </c>
      <c r="J14" s="7" t="inlineStr">
        <is>
          <t xml:space="preserve">Not Started</t>
        </is>
      </c>
    </row>
    <row r="15">
      <c r="A15" s="3" t="inlineStr">
        <is>
          <t xml:space="preserve">BIO110</t>
        </is>
      </c>
      <c r="B15" s="7" t="inlineStr">
        <is>
          <t xml:space="preserve">Materyal bekleniyor</t>
        </is>
      </c>
      <c r="C15" s="7" t="inlineStr">
        <is>
          <t xml:space="preserve">—</t>
        </is>
      </c>
      <c r="D15" s="2" t="inlineStr">
        <is>
          <t xml:space="preserve">Photosynthesis</t>
        </is>
      </c>
      <c r="E15" s="6">
        <v>3</v>
      </c>
      <c r="F15" s="6">
        <v>90</v>
      </c>
      <c r="G15" s="2" t="inlineStr">
        <is>
          <t xml:space="preserve">Kloroplast şeması + solunum–fotosentez karşılaştırma tablosu + 15 soru</t>
        </is>
      </c>
      <c r="H15" s="4">
        <v>46328</v>
      </c>
      <c r="I15" s="4">
        <v>46329</v>
      </c>
      <c r="J15" s="7" t="inlineStr">
        <is>
          <t xml:space="preserve">Not Started</t>
        </is>
      </c>
    </row>
    <row r="16">
      <c r="A16" s="3" t="inlineStr">
        <is>
          <t xml:space="preserve">BIO110</t>
        </is>
      </c>
      <c r="B16" s="7" t="inlineStr">
        <is>
          <t xml:space="preserve">Materyal bekleniyor</t>
        </is>
      </c>
      <c r="C16" s="7" t="inlineStr">
        <is>
          <t xml:space="preserve">—</t>
        </is>
      </c>
      <c r="D16" s="2" t="inlineStr">
        <is>
          <t xml:space="preserve">Cell Cycle and Cellular Reproduction</t>
        </is>
      </c>
      <c r="E16" s="6">
        <v>3</v>
      </c>
      <c r="F16" s="6">
        <v>80</v>
      </c>
      <c r="G16" s="2" t="inlineStr">
        <is>
          <t xml:space="preserve">Mitoz evreleri çizimi + 15 soru</t>
        </is>
      </c>
      <c r="H16" s="4">
        <v>46339</v>
      </c>
      <c r="I16" s="4">
        <v>46340</v>
      </c>
      <c r="J16" s="7" t="inlineStr">
        <is>
          <t xml:space="preserve">Not Started</t>
        </is>
      </c>
    </row>
    <row r="17">
      <c r="A17" s="3" t="inlineStr">
        <is>
          <t xml:space="preserve">BIO110</t>
        </is>
      </c>
      <c r="B17" s="7" t="inlineStr">
        <is>
          <t xml:space="preserve">Materyal bekleniyor</t>
        </is>
      </c>
      <c r="C17" s="7" t="inlineStr">
        <is>
          <t xml:space="preserve">—</t>
        </is>
      </c>
      <c r="D17" s="2" t="inlineStr">
        <is>
          <t xml:space="preserve">Mendel and the Gene Idea</t>
        </is>
      </c>
      <c r="E17" s="6">
        <v>3</v>
      </c>
      <c r="F17" s="6">
        <v>90</v>
      </c>
      <c r="G17" s="2" t="inlineStr">
        <is>
          <t xml:space="preserve">10 genetik problem (kolaydan zora) + 10 soru</t>
        </is>
      </c>
      <c r="H17" s="4">
        <v>46340</v>
      </c>
      <c r="I17" s="4">
        <v>46341</v>
      </c>
      <c r="J17" s="7" t="inlineStr">
        <is>
          <t xml:space="preserve">Not Started</t>
        </is>
      </c>
    </row>
    <row r="18">
      <c r="A18" s="3" t="inlineStr">
        <is>
          <t xml:space="preserve">BIO110</t>
        </is>
      </c>
      <c r="B18" s="7" t="inlineStr">
        <is>
          <t xml:space="preserve">Materyal bekleniyor</t>
        </is>
      </c>
      <c r="C18" s="7" t="inlineStr">
        <is>
          <t xml:space="preserve">—</t>
        </is>
      </c>
      <c r="D18" s="2" t="inlineStr">
        <is>
          <t xml:space="preserve">Chromosomal Basis of Inheritance</t>
        </is>
      </c>
      <c r="E18" s="6">
        <v>3</v>
      </c>
      <c r="F18" s="6">
        <v>90</v>
      </c>
      <c r="G18" s="2" t="inlineStr">
        <is>
          <t xml:space="preserve">8 problem + 10 soru</t>
        </is>
      </c>
      <c r="H18" s="4">
        <v>46341</v>
      </c>
      <c r="I18" s="4">
        <v>46342</v>
      </c>
      <c r="J18" s="7" t="inlineStr">
        <is>
          <t xml:space="preserve">Not Started</t>
        </is>
      </c>
    </row>
    <row r="19">
      <c r="A19" s="3" t="inlineStr">
        <is>
          <t xml:space="preserve">BIO110</t>
        </is>
      </c>
      <c r="B19" s="7" t="inlineStr">
        <is>
          <t xml:space="preserve">Materyal bekleniyor</t>
        </is>
      </c>
      <c r="C19" s="7" t="inlineStr">
        <is>
          <t xml:space="preserve">—</t>
        </is>
      </c>
      <c r="D19" s="2" t="inlineStr">
        <is>
          <t xml:space="preserve">Molecular Basis of Inheritance</t>
        </is>
      </c>
      <c r="E19" s="6">
        <v>3</v>
      </c>
      <c r="F19" s="6">
        <v>90</v>
      </c>
      <c r="G19" s="2" t="inlineStr">
        <is>
          <t xml:space="preserve">Replikasyon çatalı çizimi + 15 soru</t>
        </is>
      </c>
      <c r="H19" s="4">
        <v>46342</v>
      </c>
      <c r="I19" s="4">
        <v>46343</v>
      </c>
      <c r="J19" s="7" t="inlineStr">
        <is>
          <t xml:space="preserve">Not Started</t>
        </is>
      </c>
    </row>
    <row r="20">
      <c r="A20" s="3" t="inlineStr">
        <is>
          <t xml:space="preserve">BIO110</t>
        </is>
      </c>
      <c r="B20" s="7" t="inlineStr">
        <is>
          <t xml:space="preserve">Materyal bekleniyor</t>
        </is>
      </c>
      <c r="C20" s="7" t="inlineStr">
        <is>
          <t xml:space="preserve">—</t>
        </is>
      </c>
      <c r="D20" s="2" t="inlineStr">
        <is>
          <t xml:space="preserve">Gene Expression: From Gene to Protein</t>
        </is>
      </c>
      <c r="E20" s="6">
        <v>3</v>
      </c>
      <c r="F20" s="6">
        <v>100</v>
      </c>
      <c r="G20" s="2" t="inlineStr">
        <is>
          <t xml:space="preserve">mRNA→protein 8 alıştırma + süreç şeması + 15 soru</t>
        </is>
      </c>
      <c r="H20" s="4">
        <v>46343</v>
      </c>
      <c r="I20" s="4">
        <v>46344</v>
      </c>
      <c r="J20" s="7" t="inlineStr">
        <is>
          <t xml:space="preserve">Not Started</t>
        </is>
      </c>
    </row>
    <row r="21">
      <c r="A21" s="3" t="inlineStr">
        <is>
          <t xml:space="preserve">BIO110</t>
        </is>
      </c>
      <c r="B21" s="7" t="inlineStr">
        <is>
          <t xml:space="preserve">Materyal bekleniyor</t>
        </is>
      </c>
      <c r="C21" s="7" t="inlineStr">
        <is>
          <t xml:space="preserve">—</t>
        </is>
      </c>
      <c r="D21" s="2" t="inlineStr">
        <is>
          <t xml:space="preserve">Regulation of Gene Expression</t>
        </is>
      </c>
      <c r="E21" s="6">
        <v>3</v>
      </c>
      <c r="F21" s="6">
        <v>80</v>
      </c>
      <c r="G21" s="2" t="inlineStr">
        <is>
          <t xml:space="preserve">lac/trp operon 6 senaryo + 12 soru</t>
        </is>
      </c>
      <c r="H21" s="4">
        <v>46344</v>
      </c>
      <c r="I21" s="4">
        <v>46345</v>
      </c>
      <c r="J21" s="7" t="inlineStr">
        <is>
          <t xml:space="preserve">Not Started</t>
        </is>
      </c>
    </row>
    <row r="22">
      <c r="A22" s="3" t="inlineStr">
        <is>
          <t xml:space="preserve">BIO110</t>
        </is>
      </c>
      <c r="B22" s="7" t="inlineStr">
        <is>
          <t xml:space="preserve">Materyal bekleniyor</t>
        </is>
      </c>
      <c r="C22" s="7" t="inlineStr">
        <is>
          <t xml:space="preserve">—</t>
        </is>
      </c>
      <c r="D22" s="2" t="inlineStr">
        <is>
          <t xml:space="preserve">DNA Tools and Biotechnology</t>
        </is>
      </c>
      <c r="E22" s="6">
        <v>3</v>
      </c>
      <c r="F22" s="6">
        <v>70</v>
      </c>
      <c r="G22" s="2" t="inlineStr">
        <is>
          <t xml:space="preserve">PCR/jel yorumlama 5 soru + 12 soru</t>
        </is>
      </c>
      <c r="H22" s="4">
        <v>46345</v>
      </c>
      <c r="I22" s="4">
        <v>46346</v>
      </c>
      <c r="J22" s="7" t="inlineStr">
        <is>
          <t xml:space="preserve">Not Started</t>
        </is>
      </c>
    </row>
    <row r="23">
      <c r="A23" s="3" t="inlineStr">
        <is>
          <t xml:space="preserve">BIO110</t>
        </is>
      </c>
      <c r="B23" s="7" t="inlineStr">
        <is>
          <t xml:space="preserve">Materyal bekleniyor</t>
        </is>
      </c>
      <c r="C23" s="7" t="inlineStr">
        <is>
          <t xml:space="preserve">—</t>
        </is>
      </c>
      <c r="D23" s="2" t="inlineStr">
        <is>
          <t xml:space="preserve">Descent with Modification</t>
        </is>
      </c>
      <c r="E23" s="6">
        <v>3</v>
      </c>
      <c r="F23" s="6">
        <v>60</v>
      </c>
      <c r="G23" s="2" t="inlineStr">
        <is>
          <t xml:space="preserve">Kavram kartları + 12 soru</t>
        </is>
      </c>
      <c r="H23" s="4">
        <v>46355</v>
      </c>
      <c r="I23" s="4">
        <v>46356</v>
      </c>
      <c r="J23" s="7" t="inlineStr">
        <is>
          <t xml:space="preserve">Not Started</t>
        </is>
      </c>
    </row>
    <row r="24">
      <c r="A24" s="3" t="inlineStr">
        <is>
          <t xml:space="preserve">BIO110</t>
        </is>
      </c>
      <c r="B24" s="7" t="inlineStr">
        <is>
          <t xml:space="preserve">Materyal bekleniyor</t>
        </is>
      </c>
      <c r="C24" s="7" t="inlineStr">
        <is>
          <t xml:space="preserve">—</t>
        </is>
      </c>
      <c r="D24" s="2" t="inlineStr">
        <is>
          <t xml:space="preserve">Evolution of Populations</t>
        </is>
      </c>
      <c r="E24" s="6">
        <v>3</v>
      </c>
      <c r="F24" s="6">
        <v>80</v>
      </c>
      <c r="G24" s="2" t="inlineStr">
        <is>
          <t xml:space="preserve">6 Hardy–Weinberg problemi + 12 soru</t>
        </is>
      </c>
      <c r="H24" s="4">
        <v>46357</v>
      </c>
      <c r="I24" s="4">
        <v>46358</v>
      </c>
      <c r="J24" s="7" t="inlineStr">
        <is>
          <t xml:space="preserve">Not Started</t>
        </is>
      </c>
    </row>
    <row r="25">
      <c r="A25" s="3" t="inlineStr">
        <is>
          <t xml:space="preserve">CMPE371</t>
        </is>
      </c>
      <c r="B25" s="7" t="inlineStr">
        <is>
          <t xml:space="preserve">Materyal bekleniyor</t>
        </is>
      </c>
      <c r="C25" s="7" t="inlineStr">
        <is>
          <t xml:space="preserve">—</t>
        </is>
      </c>
      <c r="D25" s="2" t="inlineStr">
        <is>
          <t xml:space="preserve">Prerequisite: complex numbers</t>
        </is>
      </c>
      <c r="E25" s="6">
        <v>5</v>
      </c>
      <c r="F25" s="6">
        <v>40</v>
      </c>
      <c r="G25" s="2" t="inlineStr">
        <is>
          <t xml:space="preserve">8 temel problem (kutupsal↔kartezyen)</t>
        </is>
      </c>
      <c r="H25" s="4">
        <v>46325</v>
      </c>
      <c r="I25" s="4">
        <v>46326</v>
      </c>
      <c r="J25" s="7" t="inlineStr">
        <is>
          <t xml:space="preserve">Not Started</t>
        </is>
      </c>
    </row>
    <row r="26">
      <c r="A26" s="3" t="inlineStr">
        <is>
          <t xml:space="preserve">CMPE371</t>
        </is>
      </c>
      <c r="B26" s="7" t="inlineStr">
        <is>
          <t xml:space="preserve">Materyal bekleniyor</t>
        </is>
      </c>
      <c r="C26" s="7" t="inlineStr">
        <is>
          <t xml:space="preserve">—</t>
        </is>
      </c>
      <c r="D26" s="2" t="inlineStr">
        <is>
          <t xml:space="preserve">Prerequisite: trig/exp/calculus</t>
        </is>
      </c>
      <c r="E26" s="6">
        <v>5</v>
      </c>
      <c r="F26" s="6">
        <v>50</v>
      </c>
      <c r="G26" s="2" t="inlineStr">
        <is>
          <t xml:space="preserve">10 problem</t>
        </is>
      </c>
      <c r="H26" s="4">
        <v>46326</v>
      </c>
      <c r="I26" s="4">
        <v>46327</v>
      </c>
      <c r="J26" s="7" t="inlineStr">
        <is>
          <t xml:space="preserve">Not Started</t>
        </is>
      </c>
    </row>
    <row r="27">
      <c r="A27" s="3" t="inlineStr">
        <is>
          <t xml:space="preserve">CMPE371</t>
        </is>
      </c>
      <c r="B27" s="7" t="inlineStr">
        <is>
          <t xml:space="preserve">Materyal bekleniyor</t>
        </is>
      </c>
      <c r="C27" s="7" t="inlineStr">
        <is>
          <t xml:space="preserve">—</t>
        </is>
      </c>
      <c r="D27" s="2" t="inlineStr">
        <is>
          <t xml:space="preserve">Introduction to Signals and Systems</t>
        </is>
      </c>
      <c r="E27" s="6">
        <v>5</v>
      </c>
      <c r="F27" s="6">
        <v>70</v>
      </c>
      <c r="G27" s="2" t="inlineStr">
        <is>
          <t xml:space="preserve">8 temel + 5 orta sinyal dönüşüm problemi</t>
        </is>
      </c>
      <c r="H27" s="4">
        <v>46327</v>
      </c>
      <c r="I27" s="4">
        <v>46328</v>
      </c>
      <c r="J27" s="7" t="inlineStr">
        <is>
          <t xml:space="preserve">Not Started</t>
        </is>
      </c>
    </row>
    <row r="28">
      <c r="A28" s="3" t="inlineStr">
        <is>
          <t xml:space="preserve">CMPE371</t>
        </is>
      </c>
      <c r="B28" s="7" t="inlineStr">
        <is>
          <t xml:space="preserve">Materyal bekleniyor</t>
        </is>
      </c>
      <c r="C28" s="7" t="inlineStr">
        <is>
          <t xml:space="preserve">—</t>
        </is>
      </c>
      <c r="D28" s="2" t="inlineStr">
        <is>
          <t xml:space="preserve">Sinusoids</t>
        </is>
      </c>
      <c r="E28" s="6">
        <v>5</v>
      </c>
      <c r="F28" s="6">
        <v>70</v>
      </c>
      <c r="G28" s="2" t="inlineStr">
        <is>
          <t xml:space="preserve">8 temel + 5 orta problem, yanlış analizi</t>
        </is>
      </c>
      <c r="H28" s="4">
        <v>46328</v>
      </c>
      <c r="I28" s="4">
        <v>46329</v>
      </c>
      <c r="J28" s="7" t="inlineStr">
        <is>
          <t xml:space="preserve">Not Started</t>
        </is>
      </c>
    </row>
    <row r="29">
      <c r="A29" s="3" t="inlineStr">
        <is>
          <t xml:space="preserve">CMPE371</t>
        </is>
      </c>
      <c r="B29" s="7" t="inlineStr">
        <is>
          <t xml:space="preserve">Materyal bekleniyor</t>
        </is>
      </c>
      <c r="C29" s="7" t="inlineStr">
        <is>
          <t xml:space="preserve">—</t>
        </is>
      </c>
      <c r="D29" s="2" t="inlineStr">
        <is>
          <t xml:space="preserve">Special Signals</t>
        </is>
      </c>
      <c r="E29" s="6">
        <v>5</v>
      </c>
      <c r="F29" s="6">
        <v>70</v>
      </c>
      <c r="G29" s="2" t="inlineStr">
        <is>
          <t xml:space="preserve">8 temel + 5 orta problem</t>
        </is>
      </c>
      <c r="H29" s="4">
        <v>46329</v>
      </c>
      <c r="I29" s="4">
        <v>46330</v>
      </c>
      <c r="J29" s="7" t="inlineStr">
        <is>
          <t xml:space="preserve">Not Started</t>
        </is>
      </c>
    </row>
    <row r="30">
      <c r="A30" s="3" t="inlineStr">
        <is>
          <t xml:space="preserve">CMPE371</t>
        </is>
      </c>
      <c r="B30" s="7" t="inlineStr">
        <is>
          <t xml:space="preserve">Materyal bekleniyor</t>
        </is>
      </c>
      <c r="C30" s="7" t="inlineStr">
        <is>
          <t xml:space="preserve">—</t>
        </is>
      </c>
      <c r="D30" s="2" t="inlineStr">
        <is>
          <t xml:space="preserve">System Properties</t>
        </is>
      </c>
      <c r="E30" s="6">
        <v>5</v>
      </c>
      <c r="F30" s="6">
        <v>80</v>
      </c>
      <c r="G30" s="2" t="inlineStr">
        <is>
          <t xml:space="preserve">10 sistemi özelliklere göre sınıflandır (gerekçeli)</t>
        </is>
      </c>
      <c r="H30" s="4">
        <v>46330</v>
      </c>
      <c r="I30" s="4">
        <v>46331</v>
      </c>
      <c r="J30" s="7" t="inlineStr">
        <is>
          <t xml:space="preserve">Not Started</t>
        </is>
      </c>
    </row>
    <row r="31">
      <c r="A31" s="3" t="inlineStr">
        <is>
          <t xml:space="preserve">CMPE371</t>
        </is>
      </c>
      <c r="B31" s="7" t="inlineStr">
        <is>
          <t xml:space="preserve">Materyal bekleniyor</t>
        </is>
      </c>
      <c r="C31" s="7" t="inlineStr">
        <is>
          <t xml:space="preserve">—</t>
        </is>
      </c>
      <c r="D31" s="2" t="inlineStr">
        <is>
          <t xml:space="preserve">LTI Systems (DT convolution)</t>
        </is>
      </c>
      <c r="E31" s="6">
        <v>5</v>
      </c>
      <c r="F31" s="6">
        <v>80</v>
      </c>
      <c r="G31" s="2" t="inlineStr">
        <is>
          <t xml:space="preserve">6 temel + 4 orta hesap</t>
        </is>
      </c>
      <c r="H31" s="4">
        <v>46331</v>
      </c>
      <c r="I31" s="4">
        <v>46332</v>
      </c>
      <c r="J31" s="7" t="inlineStr">
        <is>
          <t xml:space="preserve">Not Started</t>
        </is>
      </c>
    </row>
    <row r="32">
      <c r="A32" s="3" t="inlineStr">
        <is>
          <t xml:space="preserve">CMPE371</t>
        </is>
      </c>
      <c r="B32" s="7" t="inlineStr">
        <is>
          <t xml:space="preserve">Materyal bekleniyor</t>
        </is>
      </c>
      <c r="C32" s="7" t="inlineStr">
        <is>
          <t xml:space="preserve">—</t>
        </is>
      </c>
      <c r="D32" s="2" t="inlineStr">
        <is>
          <t xml:space="preserve">LTI Systems (CT convolution)</t>
        </is>
      </c>
      <c r="E32" s="6">
        <v>5</v>
      </c>
      <c r="F32" s="6">
        <v>90</v>
      </c>
      <c r="G32" s="2" t="inlineStr">
        <is>
          <t xml:space="preserve">5 temel + 4 orta hesap</t>
        </is>
      </c>
      <c r="H32" s="4">
        <v>46331</v>
      </c>
      <c r="I32" s="4">
        <v>46332</v>
      </c>
      <c r="J32" s="7" t="inlineStr">
        <is>
          <t xml:space="preserve">Not Started</t>
        </is>
      </c>
    </row>
    <row r="33">
      <c r="A33" s="3" t="inlineStr">
        <is>
          <t xml:space="preserve">CMPE371</t>
        </is>
      </c>
      <c r="B33" s="7" t="inlineStr">
        <is>
          <t xml:space="preserve">Materyal bekleniyor</t>
        </is>
      </c>
      <c r="C33" s="7" t="inlineStr">
        <is>
          <t xml:space="preserve">—</t>
        </is>
      </c>
      <c r="D33" s="2" t="inlineStr">
        <is>
          <t xml:space="preserve">LTI Systems (properties)</t>
        </is>
      </c>
      <c r="E33" s="6">
        <v>5</v>
      </c>
      <c r="F33" s="6">
        <v>60</v>
      </c>
      <c r="G33" s="2" t="inlineStr">
        <is>
          <t xml:space="preserve">6 problem + blok diyagram 3 örnek</t>
        </is>
      </c>
      <c r="H33" s="4">
        <v>46332</v>
      </c>
      <c r="I33" s="4">
        <v>46333</v>
      </c>
      <c r="J33" s="7" t="inlineStr">
        <is>
          <t xml:space="preserve">Not Started</t>
        </is>
      </c>
    </row>
    <row r="34">
      <c r="A34" s="3" t="inlineStr">
        <is>
          <t xml:space="preserve">CMPE371</t>
        </is>
      </c>
      <c r="B34" s="7" t="inlineStr">
        <is>
          <t xml:space="preserve">Materyal bekleniyor</t>
        </is>
      </c>
      <c r="C34" s="7" t="inlineStr">
        <is>
          <t xml:space="preserve">—</t>
        </is>
      </c>
      <c r="D34" s="2" t="inlineStr">
        <is>
          <t xml:space="preserve">Differential and Difference Equations</t>
        </is>
      </c>
      <c r="E34" s="6">
        <v>5</v>
      </c>
      <c r="F34" s="6">
        <v>90</v>
      </c>
      <c r="G34" s="2" t="inlineStr">
        <is>
          <t xml:space="preserve">5 temel + 4 orta çözüm</t>
        </is>
      </c>
      <c r="H34" s="4">
        <v>46333</v>
      </c>
      <c r="I34" s="4">
        <v>46334</v>
      </c>
      <c r="J34" s="7" t="inlineStr">
        <is>
          <t xml:space="preserve">Not Started</t>
        </is>
      </c>
    </row>
    <row r="35">
      <c r="A35" s="3" t="inlineStr">
        <is>
          <t xml:space="preserve">CMPE371</t>
        </is>
      </c>
      <c r="B35" s="7" t="inlineStr">
        <is>
          <t xml:space="preserve">Materyal bekleniyor</t>
        </is>
      </c>
      <c r="C35" s="7" t="inlineStr">
        <is>
          <t xml:space="preserve">—</t>
        </is>
      </c>
      <c r="D35" s="2" t="inlineStr">
        <is>
          <t xml:space="preserve">Continuous-Time Fourier Series</t>
        </is>
      </c>
      <c r="E35" s="6">
        <v>5</v>
      </c>
      <c r="F35" s="6">
        <v>90</v>
      </c>
      <c r="G35" s="2" t="inlineStr">
        <is>
          <t xml:space="preserve">5 katsayı hesabı + 3 yorum sorusu</t>
        </is>
      </c>
      <c r="H35" s="4">
        <v>46334</v>
      </c>
      <c r="I35" s="4">
        <v>46335</v>
      </c>
      <c r="J35" s="7" t="inlineStr">
        <is>
          <t xml:space="preserve">Not Started</t>
        </is>
      </c>
    </row>
    <row r="36">
      <c r="A36" s="3" t="inlineStr">
        <is>
          <t xml:space="preserve">CMPE371</t>
        </is>
      </c>
      <c r="B36" s="7" t="inlineStr">
        <is>
          <t xml:space="preserve">Materyal bekleniyor</t>
        </is>
      </c>
      <c r="C36" s="7" t="inlineStr">
        <is>
          <t xml:space="preserve">—</t>
        </is>
      </c>
      <c r="D36" s="2" t="inlineStr">
        <is>
          <t xml:space="preserve">Continuous-Time Fourier Transform</t>
        </is>
      </c>
      <c r="E36" s="6">
        <v>5</v>
      </c>
      <c r="F36" s="6">
        <v>100</v>
      </c>
      <c r="G36" s="2" t="inlineStr">
        <is>
          <t xml:space="preserve">6 dönüşüm + 4 özellik sorusu</t>
        </is>
      </c>
      <c r="H36" s="4">
        <v>46341</v>
      </c>
      <c r="I36" s="4">
        <v>46342</v>
      </c>
      <c r="J36" s="7" t="inlineStr">
        <is>
          <t xml:space="preserve">Not Started</t>
        </is>
      </c>
    </row>
    <row r="37">
      <c r="A37" s="3" t="inlineStr">
        <is>
          <t xml:space="preserve">CMPE371</t>
        </is>
      </c>
      <c r="B37" s="7" t="inlineStr">
        <is>
          <t xml:space="preserve">Materyal bekleniyor</t>
        </is>
      </c>
      <c r="C37" s="7" t="inlineStr">
        <is>
          <t xml:space="preserve">—</t>
        </is>
      </c>
      <c r="D37" s="2" t="inlineStr">
        <is>
          <t xml:space="preserve">Discrete-Time Fourier Series</t>
        </is>
      </c>
      <c r="E37" s="6">
        <v>5</v>
      </c>
      <c r="F37" s="6">
        <v>80</v>
      </c>
      <c r="G37" s="2" t="inlineStr">
        <is>
          <t xml:space="preserve">5 katsayı hesabı + 3 yorum</t>
        </is>
      </c>
      <c r="H37" s="4">
        <v>46354</v>
      </c>
      <c r="I37" s="4">
        <v>46355</v>
      </c>
      <c r="J37" s="7" t="inlineStr">
        <is>
          <t xml:space="preserve">Not Started</t>
        </is>
      </c>
    </row>
    <row r="38">
      <c r="A38" s="3" t="inlineStr">
        <is>
          <t xml:space="preserve">CMPE371</t>
        </is>
      </c>
      <c r="B38" s="7" t="inlineStr">
        <is>
          <t xml:space="preserve">Materyal bekleniyor</t>
        </is>
      </c>
      <c r="C38" s="7" t="inlineStr">
        <is>
          <t xml:space="preserve">—</t>
        </is>
      </c>
      <c r="D38" s="2" t="inlineStr">
        <is>
          <t xml:space="preserve">Discrete-Time Fourier Transform</t>
        </is>
      </c>
      <c r="E38" s="6">
        <v>5</v>
      </c>
      <c r="F38" s="6">
        <v>90</v>
      </c>
      <c r="G38" s="2" t="inlineStr">
        <is>
          <t xml:space="preserve">6 dönüşüm + 4 özellik sorusu</t>
        </is>
      </c>
      <c r="H38" s="4">
        <v>46355</v>
      </c>
      <c r="I38" s="4">
        <v>46356</v>
      </c>
      <c r="J38" s="7" t="inlineStr">
        <is>
          <t xml:space="preserve">Not Started</t>
        </is>
      </c>
    </row>
    <row r="39">
      <c r="A39" s="3" t="inlineStr">
        <is>
          <t xml:space="preserve">CMPE371</t>
        </is>
      </c>
      <c r="B39" s="7" t="inlineStr">
        <is>
          <t xml:space="preserve">Materyal bekleniyor</t>
        </is>
      </c>
      <c r="C39" s="7" t="inlineStr">
        <is>
          <t xml:space="preserve">—</t>
        </is>
      </c>
      <c r="D39" s="2" t="inlineStr">
        <is>
          <t xml:space="preserve">Filtering</t>
        </is>
      </c>
      <c r="E39" s="6">
        <v>5</v>
      </c>
      <c r="F39" s="6">
        <v>80</v>
      </c>
      <c r="G39" s="2" t="inlineStr">
        <is>
          <t xml:space="preserve">6 filtre problemi</t>
        </is>
      </c>
      <c r="H39" s="4">
        <v>46362</v>
      </c>
      <c r="I39" s="4">
        <v>46363</v>
      </c>
      <c r="J39" s="7" t="inlineStr">
        <is>
          <t xml:space="preserve">Not Started</t>
        </is>
      </c>
    </row>
    <row r="40">
      <c r="A40" s="3" t="inlineStr">
        <is>
          <t xml:space="preserve">CMPE371</t>
        </is>
      </c>
      <c r="B40" s="7" t="inlineStr">
        <is>
          <t xml:space="preserve">Materyal bekleniyor</t>
        </is>
      </c>
      <c r="C40" s="7" t="inlineStr">
        <is>
          <t xml:space="preserve">—</t>
        </is>
      </c>
      <c r="D40" s="2" t="inlineStr">
        <is>
          <t xml:space="preserve">Sampling</t>
        </is>
      </c>
      <c r="E40" s="6">
        <v>5</v>
      </c>
      <c r="F40" s="6">
        <v>90</v>
      </c>
      <c r="G40" s="2" t="inlineStr">
        <is>
          <t xml:space="preserve">6 problem (Nyquist, aliasing)</t>
        </is>
      </c>
      <c r="H40" s="4">
        <v>46367</v>
      </c>
      <c r="I40" s="4">
        <v>46368</v>
      </c>
      <c r="J40" s="7" t="inlineStr">
        <is>
          <t xml:space="preserve">Not Started</t>
        </is>
      </c>
    </row>
    <row r="41">
      <c r="A41" s="3" t="inlineStr">
        <is>
          <t xml:space="preserve">CMPE371</t>
        </is>
      </c>
      <c r="B41" s="7" t="inlineStr">
        <is>
          <t xml:space="preserve">Materyal bekleniyor</t>
        </is>
      </c>
      <c r="C41" s="7" t="inlineStr">
        <is>
          <t xml:space="preserve">—</t>
        </is>
      </c>
      <c r="D41" s="2" t="inlineStr">
        <is>
          <t xml:space="preserve">Z-Transform</t>
        </is>
      </c>
      <c r="E41" s="6">
        <v>5</v>
      </c>
      <c r="F41" s="6">
        <v>100</v>
      </c>
      <c r="G41" s="2" t="inlineStr">
        <is>
          <t xml:space="preserve">6 dönüşüm + 4 ters Z</t>
        </is>
      </c>
      <c r="H41" s="4">
        <v>46369</v>
      </c>
      <c r="I41" s="4">
        <v>46370</v>
      </c>
      <c r="J41" s="7" t="inlineStr">
        <is>
          <t xml:space="preserve">Not Started</t>
        </is>
      </c>
    </row>
    <row r="42">
      <c r="A42" s="3" t="inlineStr">
        <is>
          <t xml:space="preserve">CMPE327</t>
        </is>
      </c>
      <c r="B42" s="7" t="inlineStr">
        <is>
          <t xml:space="preserve">Materyal bekleniyor</t>
        </is>
      </c>
      <c r="C42" s="7" t="inlineStr">
        <is>
          <t xml:space="preserve">—</t>
        </is>
      </c>
      <c r="D42" s="2" t="inlineStr">
        <is>
          <t xml:space="preserve">History; Central Concepts; Mathematical Preliminaries</t>
        </is>
      </c>
      <c r="E42" s="6">
        <v>4</v>
      </c>
      <c r="F42" s="6">
        <v>80</v>
      </c>
      <c r="G42" s="2" t="inlineStr">
        <is>
          <t xml:space="preserve">6 dil tanımlama + 2 tümevarım ispatı</t>
        </is>
      </c>
      <c r="H42" s="4">
        <v>46325</v>
      </c>
      <c r="I42" s="4">
        <v>46326</v>
      </c>
      <c r="J42" s="7" t="inlineStr">
        <is>
          <t xml:space="preserve">Not Started</t>
        </is>
      </c>
    </row>
    <row r="43">
      <c r="A43" s="3" t="inlineStr">
        <is>
          <t xml:space="preserve">CMPE327</t>
        </is>
      </c>
      <c r="B43" s="7" t="inlineStr">
        <is>
          <t xml:space="preserve">Materyal bekleniyor</t>
        </is>
      </c>
      <c r="C43" s="7" t="inlineStr">
        <is>
          <t xml:space="preserve">—</t>
        </is>
      </c>
      <c r="D43" s="2" t="inlineStr">
        <is>
          <t xml:space="preserve">Deterministic Finite Automata</t>
        </is>
      </c>
      <c r="E43" s="6">
        <v>4</v>
      </c>
      <c r="F43" s="6">
        <v>80</v>
      </c>
      <c r="G43" s="2" t="inlineStr">
        <is>
          <t xml:space="preserve">8 DFA çiz (son iki sembol, mod sayma, alt dize)</t>
        </is>
      </c>
      <c r="H43" s="4">
        <v>46326</v>
      </c>
      <c r="I43" s="4">
        <v>46327</v>
      </c>
      <c r="J43" s="7" t="inlineStr">
        <is>
          <t xml:space="preserve">Not Started</t>
        </is>
      </c>
    </row>
    <row r="44">
      <c r="A44" s="3" t="inlineStr">
        <is>
          <t xml:space="preserve">CMPE327</t>
        </is>
      </c>
      <c r="B44" s="7" t="inlineStr">
        <is>
          <t xml:space="preserve">Materyal bekleniyor</t>
        </is>
      </c>
      <c r="C44" s="7" t="inlineStr">
        <is>
          <t xml:space="preserve">—</t>
        </is>
      </c>
      <c r="D44" s="2" t="inlineStr">
        <is>
          <t xml:space="preserve">Nondeterministic Finite Automata</t>
        </is>
      </c>
      <c r="E44" s="6">
        <v>4</v>
      </c>
      <c r="F44" s="6">
        <v>70</v>
      </c>
      <c r="G44" s="2" t="inlineStr">
        <is>
          <t xml:space="preserve">8 NFA çiz + string izleme</t>
        </is>
      </c>
      <c r="H44" s="4">
        <v>46330</v>
      </c>
      <c r="I44" s="4">
        <v>46331</v>
      </c>
      <c r="J44" s="7" t="inlineStr">
        <is>
          <t xml:space="preserve">Not Started</t>
        </is>
      </c>
    </row>
    <row r="45">
      <c r="A45" s="3" t="inlineStr">
        <is>
          <t xml:space="preserve">CMPE327</t>
        </is>
      </c>
      <c r="B45" s="7" t="inlineStr">
        <is>
          <t xml:space="preserve">Materyal bekleniyor</t>
        </is>
      </c>
      <c r="C45" s="7" t="inlineStr">
        <is>
          <t xml:space="preserve">—</t>
        </is>
      </c>
      <c r="D45" s="2" t="inlineStr">
        <is>
          <t xml:space="preserve">Equivalence of DFA and NFA</t>
        </is>
      </c>
      <c r="E45" s="6">
        <v>4</v>
      </c>
      <c r="F45" s="6">
        <v>70</v>
      </c>
      <c r="G45" s="2" t="inlineStr">
        <is>
          <t xml:space="preserve">6 NFA→DFA dönüştürme</t>
        </is>
      </c>
      <c r="H45" s="4">
        <v>46331</v>
      </c>
      <c r="I45" s="4">
        <v>46332</v>
      </c>
      <c r="J45" s="7" t="inlineStr">
        <is>
          <t xml:space="preserve">Not Started</t>
        </is>
      </c>
    </row>
    <row r="46">
      <c r="A46" s="3" t="inlineStr">
        <is>
          <t xml:space="preserve">CMPE327</t>
        </is>
      </c>
      <c r="B46" s="7" t="inlineStr">
        <is>
          <t xml:space="preserve">Materyal bekleniyor</t>
        </is>
      </c>
      <c r="C46" s="7" t="inlineStr">
        <is>
          <t xml:space="preserve">—</t>
        </is>
      </c>
      <c r="D46" s="2" t="inlineStr">
        <is>
          <t xml:space="preserve">Closure Properties; Regular Languages</t>
        </is>
      </c>
      <c r="E46" s="6">
        <v>4</v>
      </c>
      <c r="F46" s="6">
        <v>60</v>
      </c>
      <c r="G46" s="2" t="inlineStr">
        <is>
          <t xml:space="preserve">5 yapı + 3 kısa ispat</t>
        </is>
      </c>
      <c r="H46" s="4">
        <v>46332</v>
      </c>
      <c r="I46" s="4">
        <v>46333</v>
      </c>
      <c r="J46" s="7" t="inlineStr">
        <is>
          <t xml:space="preserve">Not Started</t>
        </is>
      </c>
    </row>
    <row r="47">
      <c r="A47" s="3" t="inlineStr">
        <is>
          <t xml:space="preserve">CMPE327</t>
        </is>
      </c>
      <c r="B47" s="7" t="inlineStr">
        <is>
          <t xml:space="preserve">Materyal bekleniyor</t>
        </is>
      </c>
      <c r="C47" s="7" t="inlineStr">
        <is>
          <t xml:space="preserve">—</t>
        </is>
      </c>
      <c r="D47" s="2" t="inlineStr">
        <is>
          <t xml:space="preserve">Regular Expressions; Pattern Matching</t>
        </is>
      </c>
      <c r="E47" s="6">
        <v>4</v>
      </c>
      <c r="F47" s="6">
        <v>80</v>
      </c>
      <c r="G47" s="2" t="inlineStr">
        <is>
          <t xml:space="preserve">8 regex yaz + 4 dönüşüm</t>
        </is>
      </c>
      <c r="H47" s="4">
        <v>46333</v>
      </c>
      <c r="I47" s="4">
        <v>46334</v>
      </c>
      <c r="J47" s="7" t="inlineStr">
        <is>
          <t xml:space="preserve">Not Started</t>
        </is>
      </c>
    </row>
    <row r="48">
      <c r="A48" s="3" t="inlineStr">
        <is>
          <t xml:space="preserve">CMPE327</t>
        </is>
      </c>
      <c r="B48" s="7" t="inlineStr">
        <is>
          <t xml:space="preserve">Materyal bekleniyor</t>
        </is>
      </c>
      <c r="C48" s="7" t="inlineStr">
        <is>
          <t xml:space="preserve">—</t>
        </is>
      </c>
      <c r="D48" s="2" t="inlineStr">
        <is>
          <t xml:space="preserve">DFA State Minimization</t>
        </is>
      </c>
      <c r="E48" s="6">
        <v>4</v>
      </c>
      <c r="F48" s="6">
        <v>70</v>
      </c>
      <c r="G48" s="2" t="inlineStr">
        <is>
          <t xml:space="preserve">5 minimizasyon</t>
        </is>
      </c>
      <c r="H48" s="4">
        <v>46334</v>
      </c>
      <c r="I48" s="4">
        <v>46335</v>
      </c>
      <c r="J48" s="7" t="inlineStr">
        <is>
          <t xml:space="preserve">Not Started</t>
        </is>
      </c>
    </row>
    <row r="49">
      <c r="A49" s="3" t="inlineStr">
        <is>
          <t xml:space="preserve">CMPE327</t>
        </is>
      </c>
      <c r="B49" s="7" t="inlineStr">
        <is>
          <t xml:space="preserve">Materyal bekleniyor</t>
        </is>
      </c>
      <c r="C49" s="7" t="inlineStr">
        <is>
          <t xml:space="preserve">—</t>
        </is>
      </c>
      <c r="D49" s="2" t="inlineStr">
        <is>
          <t xml:space="preserve">Myhill–Nerode Relations</t>
        </is>
      </c>
      <c r="E49" s="6">
        <v>4</v>
      </c>
      <c r="F49" s="6">
        <v>70</v>
      </c>
      <c r="G49" s="2" t="inlineStr">
        <is>
          <t xml:space="preserve">4 problem + 2 kısa ispat</t>
        </is>
      </c>
      <c r="H49" s="4">
        <v>46335</v>
      </c>
      <c r="I49" s="4">
        <v>46336</v>
      </c>
      <c r="J49" s="7" t="inlineStr">
        <is>
          <t xml:space="preserve">Not Started</t>
        </is>
      </c>
    </row>
    <row r="50">
      <c r="A50" s="3" t="inlineStr">
        <is>
          <t xml:space="preserve">CMPE327</t>
        </is>
      </c>
      <c r="B50" s="7" t="inlineStr">
        <is>
          <t xml:space="preserve">Materyal bekleniyor</t>
        </is>
      </c>
      <c r="C50" s="7" t="inlineStr">
        <is>
          <t xml:space="preserve">—</t>
        </is>
      </c>
      <c r="D50" s="2" t="inlineStr">
        <is>
          <t xml:space="preserve">Derivatives; Equivalence of Regular Expressions</t>
        </is>
      </c>
      <c r="E50" s="6">
        <v>4</v>
      </c>
      <c r="F50" s="6">
        <v>70</v>
      </c>
      <c r="G50" s="2" t="inlineStr">
        <is>
          <t xml:space="preserve">6 türev hesabı + 3 denklik</t>
        </is>
      </c>
      <c r="H50" s="4">
        <v>46336</v>
      </c>
      <c r="I50" s="4">
        <v>46337</v>
      </c>
      <c r="J50" s="7" t="inlineStr">
        <is>
          <t xml:space="preserve">Not Started</t>
        </is>
      </c>
    </row>
    <row r="51">
      <c r="A51" s="3" t="inlineStr">
        <is>
          <t xml:space="preserve">CMPE327</t>
        </is>
      </c>
      <c r="B51" s="7" t="inlineStr">
        <is>
          <t xml:space="preserve">Materyal bekleniyor</t>
        </is>
      </c>
      <c r="C51" s="7" t="inlineStr">
        <is>
          <t xml:space="preserve">—</t>
        </is>
      </c>
      <c r="D51" s="2" t="inlineStr">
        <is>
          <t xml:space="preserve">Context-Free Grammars</t>
        </is>
      </c>
      <c r="E51" s="6">
        <v>4</v>
      </c>
      <c r="F51" s="6">
        <v>70</v>
      </c>
      <c r="G51" s="2" t="inlineStr">
        <is>
          <t xml:space="preserve">8 CFG tasarla</t>
        </is>
      </c>
      <c r="H51" s="4">
        <v>46337</v>
      </c>
      <c r="I51" s="4">
        <v>46338</v>
      </c>
      <c r="J51" s="7" t="inlineStr">
        <is>
          <t xml:space="preserve">Not Started</t>
        </is>
      </c>
    </row>
    <row r="52">
      <c r="A52" s="3" t="inlineStr">
        <is>
          <t xml:space="preserve">CMPE327</t>
        </is>
      </c>
      <c r="B52" s="7" t="inlineStr">
        <is>
          <t xml:space="preserve">Materyal bekleniyor</t>
        </is>
      </c>
      <c r="C52" s="7" t="inlineStr">
        <is>
          <t xml:space="preserve">—</t>
        </is>
      </c>
      <c r="D52" s="2" t="inlineStr">
        <is>
          <t xml:space="preserve">Ambiguity; DFA Equivalence Checking</t>
        </is>
      </c>
      <c r="E52" s="6">
        <v>4</v>
      </c>
      <c r="F52" s="6">
        <v>60</v>
      </c>
      <c r="G52" s="2" t="inlineStr">
        <is>
          <t xml:space="preserve">4 gramer + 3 denklik kontrolü</t>
        </is>
      </c>
      <c r="H52" s="4">
        <v>46338</v>
      </c>
      <c r="I52" s="4">
        <v>46339</v>
      </c>
      <c r="J52" s="7" t="inlineStr">
        <is>
          <t xml:space="preserve">Not Started</t>
        </is>
      </c>
    </row>
    <row r="53">
      <c r="A53" s="3" t="inlineStr">
        <is>
          <t xml:space="preserve">CMPE327</t>
        </is>
      </c>
      <c r="B53" s="7" t="inlineStr">
        <is>
          <t xml:space="preserve">Materyal bekleniyor</t>
        </is>
      </c>
      <c r="C53" s="7" t="inlineStr">
        <is>
          <t xml:space="preserve">—</t>
        </is>
      </c>
      <c r="D53" s="2" t="inlineStr">
        <is>
          <t xml:space="preserve">Chomsky Normal Form</t>
        </is>
      </c>
      <c r="E53" s="6">
        <v>4</v>
      </c>
      <c r="F53" s="6">
        <v>70</v>
      </c>
      <c r="G53" s="2" t="inlineStr">
        <is>
          <t xml:space="preserve">5 CNF dönüştürme</t>
        </is>
      </c>
      <c r="H53" s="4">
        <v>46354</v>
      </c>
      <c r="I53" s="4">
        <v>46355</v>
      </c>
      <c r="J53" s="7" t="inlineStr">
        <is>
          <t xml:space="preserve">Not Started</t>
        </is>
      </c>
    </row>
    <row r="54">
      <c r="A54" s="3" t="inlineStr">
        <is>
          <t xml:space="preserve">CMPE327</t>
        </is>
      </c>
      <c r="B54" s="7" t="inlineStr">
        <is>
          <t xml:space="preserve">Materyal bekleniyor</t>
        </is>
      </c>
      <c r="C54" s="7" t="inlineStr">
        <is>
          <t xml:space="preserve">—</t>
        </is>
      </c>
      <c r="D54" s="2" t="inlineStr">
        <is>
          <t xml:space="preserve">CYK Algorithm</t>
        </is>
      </c>
      <c r="E54" s="6">
        <v>4</v>
      </c>
      <c r="F54" s="6">
        <v>70</v>
      </c>
      <c r="G54" s="2" t="inlineStr">
        <is>
          <t xml:space="preserve">6 CYK tablosu</t>
        </is>
      </c>
      <c r="H54" s="4">
        <v>46355</v>
      </c>
      <c r="I54" s="4">
        <v>46356</v>
      </c>
      <c r="J54" s="7" t="inlineStr">
        <is>
          <t xml:space="preserve">Not Started</t>
        </is>
      </c>
    </row>
    <row r="55">
      <c r="A55" s="3" t="inlineStr">
        <is>
          <t xml:space="preserve">CMPE327</t>
        </is>
      </c>
      <c r="B55" s="7" t="inlineStr">
        <is>
          <t xml:space="preserve">Materyal bekleniyor</t>
        </is>
      </c>
      <c r="C55" s="7" t="inlineStr">
        <is>
          <t xml:space="preserve">—</t>
        </is>
      </c>
      <c r="D55" s="2" t="inlineStr">
        <is>
          <t xml:space="preserve">Pumping Lemma; Nonregularity</t>
        </is>
      </c>
      <c r="E55" s="6">
        <v>4</v>
      </c>
      <c r="F55" s="6">
        <v>90</v>
      </c>
      <c r="G55" s="2" t="inlineStr">
        <is>
          <t xml:space="preserve">8 dil için düzenli değil ispatı</t>
        </is>
      </c>
      <c r="H55" s="4">
        <v>46357</v>
      </c>
      <c r="I55" s="4">
        <v>46358</v>
      </c>
      <c r="J55" s="7" t="inlineStr">
        <is>
          <t xml:space="preserve">Not Started</t>
        </is>
      </c>
    </row>
    <row r="56">
      <c r="A56" s="3" t="inlineStr">
        <is>
          <t xml:space="preserve">CMPE327</t>
        </is>
      </c>
      <c r="B56" s="7" t="inlineStr">
        <is>
          <t xml:space="preserve">Materyal bekleniyor</t>
        </is>
      </c>
      <c r="C56" s="7" t="inlineStr">
        <is>
          <t xml:space="preserve">—</t>
        </is>
      </c>
      <c r="D56" s="2" t="inlineStr">
        <is>
          <t xml:space="preserve">Pushdown Automata</t>
        </is>
      </c>
      <c r="E56" s="6">
        <v>4</v>
      </c>
      <c r="F56" s="6">
        <v>90</v>
      </c>
      <c r="G56" s="2" t="inlineStr">
        <is>
          <t xml:space="preserve">6 PDA tasarla/izle</t>
        </is>
      </c>
      <c r="H56" s="4">
        <v>46360</v>
      </c>
      <c r="I56" s="4">
        <v>46361</v>
      </c>
      <c r="J56" s="7" t="inlineStr">
        <is>
          <t xml:space="preserve">Not Started</t>
        </is>
      </c>
    </row>
    <row r="57">
      <c r="A57" s="3" t="inlineStr">
        <is>
          <t xml:space="preserve">CMPE327</t>
        </is>
      </c>
      <c r="B57" s="7" t="inlineStr">
        <is>
          <t xml:space="preserve">Materyal bekleniyor</t>
        </is>
      </c>
      <c r="C57" s="7" t="inlineStr">
        <is>
          <t xml:space="preserve">—</t>
        </is>
      </c>
      <c r="D57" s="2" t="inlineStr">
        <is>
          <t xml:space="preserve">Ogden's Lemma</t>
        </is>
      </c>
      <c r="E57" s="6">
        <v>4</v>
      </c>
      <c r="F57" s="6">
        <v>60</v>
      </c>
      <c r="G57" s="2" t="inlineStr">
        <is>
          <t xml:space="preserve">4 problem</t>
        </is>
      </c>
      <c r="H57" s="4">
        <v>46362</v>
      </c>
      <c r="I57" s="4">
        <v>46363</v>
      </c>
      <c r="J57" s="7" t="inlineStr">
        <is>
          <t xml:space="preserve">Not Started</t>
        </is>
      </c>
    </row>
    <row r="58">
      <c r="A58" s="3" t="inlineStr">
        <is>
          <t xml:space="preserve">CMPE327</t>
        </is>
      </c>
      <c r="B58" s="7" t="inlineStr">
        <is>
          <t xml:space="preserve">Materyal bekleniyor</t>
        </is>
      </c>
      <c r="C58" s="7" t="inlineStr">
        <is>
          <t xml:space="preserve">—</t>
        </is>
      </c>
      <c r="D58" s="2" t="inlineStr">
        <is>
          <t xml:space="preserve">Turing Machines</t>
        </is>
      </c>
      <c r="E58" s="6">
        <v>4</v>
      </c>
      <c r="F58" s="6">
        <v>90</v>
      </c>
      <c r="G58" s="2" t="inlineStr">
        <is>
          <t xml:space="preserve">5 TM tasarla/izle</t>
        </is>
      </c>
      <c r="H58" s="4">
        <v>46367</v>
      </c>
      <c r="I58" s="4">
        <v>46368</v>
      </c>
      <c r="J58" s="7" t="inlineStr">
        <is>
          <t xml:space="preserve">Not Started</t>
        </is>
      </c>
    </row>
    <row r="59">
      <c r="A59" s="3" t="inlineStr">
        <is>
          <t xml:space="preserve">CMPE327</t>
        </is>
      </c>
      <c r="B59" s="7" t="inlineStr">
        <is>
          <t xml:space="preserve">Materyal bekleniyor</t>
        </is>
      </c>
      <c r="C59" s="7" t="inlineStr">
        <is>
          <t xml:space="preserve">—</t>
        </is>
      </c>
      <c r="D59" s="2" t="inlineStr">
        <is>
          <t xml:space="preserve">Decision Problems</t>
        </is>
      </c>
      <c r="E59" s="6">
        <v>4</v>
      </c>
      <c r="F59" s="6">
        <v>60</v>
      </c>
      <c r="G59" s="2" t="inlineStr">
        <is>
          <t xml:space="preserve">kavram soruları + 4 örnek</t>
        </is>
      </c>
      <c r="H59" s="4">
        <v>46368</v>
      </c>
      <c r="I59" s="4">
        <v>46369</v>
      </c>
      <c r="J59" s="7" t="inlineStr">
        <is>
          <t xml:space="preserve">Not Started</t>
        </is>
      </c>
    </row>
    <row r="60">
      <c r="A60" s="3" t="inlineStr">
        <is>
          <t xml:space="preserve">CMPE421</t>
        </is>
      </c>
      <c r="B60" s="7" t="inlineStr">
        <is>
          <t xml:space="preserve">Materyal bekleniyor</t>
        </is>
      </c>
      <c r="C60" s="7" t="inlineStr">
        <is>
          <t xml:space="preserve">—</t>
        </is>
      </c>
      <c r="D60" s="2" t="inlineStr">
        <is>
          <t xml:space="preserve">Introduction to AI; Intelligent Agents</t>
        </is>
      </c>
      <c r="E60" s="6">
        <v>4</v>
      </c>
      <c r="F60" s="6">
        <v>60</v>
      </c>
      <c r="G60" s="2" t="inlineStr">
        <is>
          <t xml:space="preserve">6 PEAS tanımı + 10 kavram sorusu</t>
        </is>
      </c>
      <c r="H60" s="4">
        <v>46329</v>
      </c>
      <c r="I60" s="4">
        <v>46330</v>
      </c>
      <c r="J60" s="7" t="inlineStr">
        <is>
          <t xml:space="preserve">Not Started</t>
        </is>
      </c>
    </row>
    <row r="61">
      <c r="A61" s="3" t="inlineStr">
        <is>
          <t xml:space="preserve">CMPE421</t>
        </is>
      </c>
      <c r="B61" s="7" t="inlineStr">
        <is>
          <t xml:space="preserve">Materyal bekleniyor</t>
        </is>
      </c>
      <c r="C61" s="7" t="inlineStr">
        <is>
          <t xml:space="preserve">—</t>
        </is>
      </c>
      <c r="D61" s="2" t="inlineStr">
        <is>
          <t xml:space="preserve">Uninformed Search Algorithms</t>
        </is>
      </c>
      <c r="E61" s="6">
        <v>4</v>
      </c>
      <c r="F61" s="6">
        <v>80</v>
      </c>
      <c r="G61" s="2" t="inlineStr">
        <is>
          <t xml:space="preserve">5 arama ağacı izle + karşılaştırma tablosu</t>
        </is>
      </c>
      <c r="H61" s="4">
        <v>46330</v>
      </c>
      <c r="I61" s="4">
        <v>46331</v>
      </c>
      <c r="J61" s="7" t="inlineStr">
        <is>
          <t xml:space="preserve">Not Started</t>
        </is>
      </c>
    </row>
    <row r="62">
      <c r="A62" s="3" t="inlineStr">
        <is>
          <t xml:space="preserve">CMPE421</t>
        </is>
      </c>
      <c r="B62" s="7" t="inlineStr">
        <is>
          <t xml:space="preserve">Materyal bekleniyor</t>
        </is>
      </c>
      <c r="C62" s="7" t="inlineStr">
        <is>
          <t xml:space="preserve">—</t>
        </is>
      </c>
      <c r="D62" s="2" t="inlineStr">
        <is>
          <t xml:space="preserve">Informed Search Algorithms</t>
        </is>
      </c>
      <c r="E62" s="6">
        <v>4</v>
      </c>
      <c r="F62" s="6">
        <v>80</v>
      </c>
      <c r="G62" s="2" t="inlineStr">
        <is>
          <t xml:space="preserve">5 A* izleme + 3 sezgisel kanıt</t>
        </is>
      </c>
      <c r="H62" s="4">
        <v>46333</v>
      </c>
      <c r="I62" s="4">
        <v>46334</v>
      </c>
      <c r="J62" s="7" t="inlineStr">
        <is>
          <t xml:space="preserve">Not Started</t>
        </is>
      </c>
    </row>
    <row r="63">
      <c r="A63" s="3" t="inlineStr">
        <is>
          <t xml:space="preserve">CMPE421</t>
        </is>
      </c>
      <c r="B63" s="7" t="inlineStr">
        <is>
          <t xml:space="preserve">Materyal bekleniyor</t>
        </is>
      </c>
      <c r="C63" s="7" t="inlineStr">
        <is>
          <t xml:space="preserve">—</t>
        </is>
      </c>
      <c r="D63" s="2" t="inlineStr">
        <is>
          <t xml:space="preserve">Game Playing</t>
        </is>
      </c>
      <c r="E63" s="6">
        <v>4</v>
      </c>
      <c r="F63" s="6">
        <v>70</v>
      </c>
      <c r="G63" s="2" t="inlineStr">
        <is>
          <t xml:space="preserve">5 oyun ağacı (budama sırası)</t>
        </is>
      </c>
      <c r="H63" s="4">
        <v>46334</v>
      </c>
      <c r="I63" s="4">
        <v>46335</v>
      </c>
      <c r="J63" s="7" t="inlineStr">
        <is>
          <t xml:space="preserve">Not Started</t>
        </is>
      </c>
    </row>
    <row r="64">
      <c r="A64" s="3" t="inlineStr">
        <is>
          <t xml:space="preserve">CMPE421</t>
        </is>
      </c>
      <c r="B64" s="7" t="inlineStr">
        <is>
          <t xml:space="preserve">Materyal bekleniyor</t>
        </is>
      </c>
      <c r="C64" s="7" t="inlineStr">
        <is>
          <t xml:space="preserve">—</t>
        </is>
      </c>
      <c r="D64" s="2" t="inlineStr">
        <is>
          <t xml:space="preserve">Constraint Satisfaction; Adversarial Search</t>
        </is>
      </c>
      <c r="E64" s="6">
        <v>4</v>
      </c>
      <c r="F64" s="6">
        <v>70</v>
      </c>
      <c r="G64" s="2" t="inlineStr">
        <is>
          <t xml:space="preserve">4 CSP elle çöz</t>
        </is>
      </c>
      <c r="H64" s="4">
        <v>46335</v>
      </c>
      <c r="I64" s="4">
        <v>46336</v>
      </c>
      <c r="J64" s="7" t="inlineStr">
        <is>
          <t xml:space="preserve">Not Started</t>
        </is>
      </c>
    </row>
    <row r="65">
      <c r="A65" s="3" t="inlineStr">
        <is>
          <t xml:space="preserve">CMPE421</t>
        </is>
      </c>
      <c r="B65" s="7" t="inlineStr">
        <is>
          <t xml:space="preserve">Materyal bekleniyor</t>
        </is>
      </c>
      <c r="C65" s="7" t="inlineStr">
        <is>
          <t xml:space="preserve">—</t>
        </is>
      </c>
      <c r="D65" s="2" t="inlineStr">
        <is>
          <t xml:space="preserve">Planning</t>
        </is>
      </c>
      <c r="E65" s="6">
        <v>4</v>
      </c>
      <c r="F65" s="6">
        <v>70</v>
      </c>
      <c r="G65" s="2" t="inlineStr">
        <is>
          <t xml:space="preserve">4 plan problemi</t>
        </is>
      </c>
      <c r="H65" s="4">
        <v>46336</v>
      </c>
      <c r="I65" s="4">
        <v>46337</v>
      </c>
      <c r="J65" s="7" t="inlineStr">
        <is>
          <t xml:space="preserve">Not Started</t>
        </is>
      </c>
    </row>
    <row r="66">
      <c r="A66" s="3" t="inlineStr">
        <is>
          <t xml:space="preserve">CMPE421</t>
        </is>
      </c>
      <c r="B66" s="7" t="inlineStr">
        <is>
          <t xml:space="preserve">Materyal bekleniyor</t>
        </is>
      </c>
      <c r="C66" s="7" t="inlineStr">
        <is>
          <t xml:space="preserve">—</t>
        </is>
      </c>
      <c r="D66" s="2" t="inlineStr">
        <is>
          <t xml:space="preserve">Knowledge Representation and Reasoning</t>
        </is>
      </c>
      <c r="E66" s="6">
        <v>4</v>
      </c>
      <c r="F66" s="6">
        <v>80</v>
      </c>
      <c r="G66" s="2" t="inlineStr">
        <is>
          <t xml:space="preserve">10 mantık sorusu</t>
        </is>
      </c>
      <c r="H66" s="4">
        <v>46337</v>
      </c>
      <c r="I66" s="4">
        <v>46338</v>
      </c>
      <c r="J66" s="7" t="inlineStr">
        <is>
          <t xml:space="preserve">Not Started</t>
        </is>
      </c>
    </row>
    <row r="67">
      <c r="A67" s="3" t="inlineStr">
        <is>
          <t xml:space="preserve">CMPE421</t>
        </is>
      </c>
      <c r="B67" s="7" t="inlineStr">
        <is>
          <t xml:space="preserve">Materyal bekleniyor</t>
        </is>
      </c>
      <c r="C67" s="7" t="inlineStr">
        <is>
          <t xml:space="preserve">—</t>
        </is>
      </c>
      <c r="D67" s="2" t="inlineStr">
        <is>
          <t xml:space="preserve">Theorem Proving</t>
        </is>
      </c>
      <c r="E67" s="6">
        <v>4</v>
      </c>
      <c r="F67" s="6">
        <v>80</v>
      </c>
      <c r="G67" s="2" t="inlineStr">
        <is>
          <t xml:space="preserve">5 resolution ispatı</t>
        </is>
      </c>
      <c r="H67" s="4">
        <v>46338</v>
      </c>
      <c r="I67" s="4">
        <v>46339</v>
      </c>
      <c r="J67" s="7" t="inlineStr">
        <is>
          <t xml:space="preserve">Not Started</t>
        </is>
      </c>
    </row>
    <row r="68">
      <c r="A68" s="3" t="inlineStr">
        <is>
          <t xml:space="preserve">CMPE421</t>
        </is>
      </c>
      <c r="B68" s="7" t="inlineStr">
        <is>
          <t xml:space="preserve">Materyal bekleniyor</t>
        </is>
      </c>
      <c r="C68" s="7" t="inlineStr">
        <is>
          <t xml:space="preserve">—</t>
        </is>
      </c>
      <c r="D68" s="2" t="inlineStr">
        <is>
          <t xml:space="preserve">Uncertainty</t>
        </is>
      </c>
      <c r="E68" s="6">
        <v>4</v>
      </c>
      <c r="F68" s="6">
        <v>80</v>
      </c>
      <c r="G68" s="2" t="inlineStr">
        <is>
          <t xml:space="preserve">8 olasılık problemi</t>
        </is>
      </c>
      <c r="H68" s="4">
        <v>46340</v>
      </c>
      <c r="I68" s="4">
        <v>46341</v>
      </c>
      <c r="J68" s="7" t="inlineStr">
        <is>
          <t xml:space="preserve">Not Started</t>
        </is>
      </c>
    </row>
    <row r="69">
      <c r="A69" s="3" t="inlineStr">
        <is>
          <t xml:space="preserve">CMPE421</t>
        </is>
      </c>
      <c r="B69" s="7" t="inlineStr">
        <is>
          <t xml:space="preserve">Materyal bekleniyor</t>
        </is>
      </c>
      <c r="C69" s="7" t="inlineStr">
        <is>
          <t xml:space="preserve">—</t>
        </is>
      </c>
      <c r="D69" s="2" t="inlineStr">
        <is>
          <t xml:space="preserve">Machine Learning Fundamentals</t>
        </is>
      </c>
      <c r="E69" s="6">
        <v>4</v>
      </c>
      <c r="F69" s="6">
        <v>70</v>
      </c>
      <c r="G69" s="2" t="inlineStr">
        <is>
          <t xml:space="preserve">10 kavram + 3 metrik hesabı</t>
        </is>
      </c>
      <c r="H69" s="4">
        <v>46355</v>
      </c>
      <c r="I69" s="4">
        <v>46356</v>
      </c>
      <c r="J69" s="7" t="inlineStr">
        <is>
          <t xml:space="preserve">Not Started</t>
        </is>
      </c>
    </row>
    <row r="70">
      <c r="A70" s="3" t="inlineStr">
        <is>
          <t xml:space="preserve">CMPE421</t>
        </is>
      </c>
      <c r="B70" s="7" t="inlineStr">
        <is>
          <t xml:space="preserve">Materyal bekleniyor</t>
        </is>
      </c>
      <c r="C70" s="7" t="inlineStr">
        <is>
          <t xml:space="preserve">—</t>
        </is>
      </c>
      <c r="D70" s="2" t="inlineStr">
        <is>
          <t xml:space="preserve">Classification and Regression</t>
        </is>
      </c>
      <c r="E70" s="6">
        <v>4</v>
      </c>
      <c r="F70" s="6">
        <v>80</v>
      </c>
      <c r="G70" s="2" t="inlineStr">
        <is>
          <t xml:space="preserve">4 elle hesap</t>
        </is>
      </c>
      <c r="H70" s="4">
        <v>46356</v>
      </c>
      <c r="I70" s="4">
        <v>46357</v>
      </c>
      <c r="J70" s="7" t="inlineStr">
        <is>
          <t xml:space="preserve">Not Started</t>
        </is>
      </c>
    </row>
    <row r="71">
      <c r="A71" s="3" t="inlineStr">
        <is>
          <t xml:space="preserve">CMPE421</t>
        </is>
      </c>
      <c r="B71" s="7" t="inlineStr">
        <is>
          <t xml:space="preserve">Materyal bekleniyor</t>
        </is>
      </c>
      <c r="C71" s="7" t="inlineStr">
        <is>
          <t xml:space="preserve">—</t>
        </is>
      </c>
      <c r="D71" s="2" t="inlineStr">
        <is>
          <t xml:space="preserve">Neural Networks and Deep Learning</t>
        </is>
      </c>
      <c r="E71" s="6">
        <v>4</v>
      </c>
      <c r="F71" s="6">
        <v>80</v>
      </c>
      <c r="G71" s="2" t="inlineStr">
        <is>
          <t xml:space="preserve">3 ileri-geri yayılım hesabı</t>
        </is>
      </c>
      <c r="H71" s="4">
        <v>46359</v>
      </c>
      <c r="I71" s="4">
        <v>46360</v>
      </c>
      <c r="J71" s="7" t="inlineStr">
        <is>
          <t xml:space="preserve">Not Started</t>
        </is>
      </c>
    </row>
    <row r="72">
      <c r="A72" s="3" t="inlineStr">
        <is>
          <t xml:space="preserve">CMPE421</t>
        </is>
      </c>
      <c r="B72" s="7" t="inlineStr">
        <is>
          <t xml:space="preserve">Materyal bekleniyor</t>
        </is>
      </c>
      <c r="C72" s="7" t="inlineStr">
        <is>
          <t xml:space="preserve">—</t>
        </is>
      </c>
      <c r="D72" s="2" t="inlineStr">
        <is>
          <t xml:space="preserve">NLP and LLMs</t>
        </is>
      </c>
      <c r="E72" s="6">
        <v>4</v>
      </c>
      <c r="F72" s="6">
        <v>70</v>
      </c>
      <c r="G72" s="2" t="inlineStr">
        <is>
          <t xml:space="preserve">10 kavram sorusu</t>
        </is>
      </c>
      <c r="H72" s="4">
        <v>46362</v>
      </c>
      <c r="I72" s="4">
        <v>46363</v>
      </c>
      <c r="J72" s="7" t="inlineStr">
        <is>
          <t xml:space="preserve">Not Started</t>
        </is>
      </c>
    </row>
    <row r="73">
      <c r="A73" s="3" t="inlineStr">
        <is>
          <t xml:space="preserve">CMPE421</t>
        </is>
      </c>
      <c r="B73" s="7" t="inlineStr">
        <is>
          <t xml:space="preserve">Materyal bekleniyor</t>
        </is>
      </c>
      <c r="C73" s="7" t="inlineStr">
        <is>
          <t xml:space="preserve">—</t>
        </is>
      </c>
      <c r="D73" s="2" t="inlineStr">
        <is>
          <t xml:space="preserve">Reinforcement Learning</t>
        </is>
      </c>
      <c r="E73" s="6">
        <v>4</v>
      </c>
      <c r="F73" s="6">
        <v>80</v>
      </c>
      <c r="G73" s="2" t="inlineStr">
        <is>
          <t xml:space="preserve">3 Q-learning güncellemesi</t>
        </is>
      </c>
      <c r="H73" s="4">
        <v>46363</v>
      </c>
      <c r="I73" s="4">
        <v>46364</v>
      </c>
      <c r="J73" s="7" t="inlineStr">
        <is>
          <t xml:space="preserve">Not Started</t>
        </is>
      </c>
    </row>
    <row r="74">
      <c r="A74" s="3" t="inlineStr">
        <is>
          <t xml:space="preserve">CMPE421</t>
        </is>
      </c>
      <c r="B74" s="7" t="inlineStr">
        <is>
          <t xml:space="preserve">Materyal bekleniyor</t>
        </is>
      </c>
      <c r="C74" s="7" t="inlineStr">
        <is>
          <t xml:space="preserve">—</t>
        </is>
      </c>
      <c r="D74" s="2" t="inlineStr">
        <is>
          <t xml:space="preserve">Ethics, Explainability and Responsible AI</t>
        </is>
      </c>
      <c r="E74" s="6">
        <v>4</v>
      </c>
      <c r="F74" s="6">
        <v>50</v>
      </c>
      <c r="G74" s="2" t="inlineStr">
        <is>
          <t xml:space="preserve">kısa yazılı cevap 3 adet</t>
        </is>
      </c>
      <c r="H74" s="4">
        <v>46366</v>
      </c>
      <c r="I74" s="4">
        <v>46367</v>
      </c>
      <c r="J74" s="7" t="inlineStr">
        <is>
          <t xml:space="preserve">Not Started</t>
        </is>
      </c>
    </row>
    <row r="75">
      <c r="A75" s="3" t="inlineStr">
        <is>
          <t xml:space="preserve">CMPE453</t>
        </is>
      </c>
      <c r="B75" s="7" t="inlineStr">
        <is>
          <t xml:space="preserve">Materyal bekleniyor</t>
        </is>
      </c>
      <c r="C75" s="7" t="inlineStr">
        <is>
          <t xml:space="preserve">—</t>
        </is>
      </c>
      <c r="D75" s="2" t="inlineStr">
        <is>
          <t xml:space="preserve">Course Overview; Architecture of AVR (Elliot Ch.1)</t>
        </is>
      </c>
      <c r="E75" s="6">
        <v>4</v>
      </c>
      <c r="F75" s="6">
        <v>70</v>
      </c>
      <c r="G75" s="2" t="inlineStr">
        <is>
          <t xml:space="preserve">Blok şemayı belleğten çiz + 10 kavram sorusu</t>
        </is>
      </c>
      <c r="H75" s="4">
        <v>46330</v>
      </c>
      <c r="I75" s="4">
        <v>46331</v>
      </c>
      <c r="J75" s="7" t="inlineStr">
        <is>
          <t xml:space="preserve">Not Started</t>
        </is>
      </c>
    </row>
    <row r="76">
      <c r="A76" s="3" t="inlineStr">
        <is>
          <t xml:space="preserve">CMPE453</t>
        </is>
      </c>
      <c r="B76" s="7" t="inlineStr">
        <is>
          <t xml:space="preserve">Materyal bekleniyor</t>
        </is>
      </c>
      <c r="C76" s="7" t="inlineStr">
        <is>
          <t xml:space="preserve">—</t>
        </is>
      </c>
      <c r="D76" s="2" t="inlineStr">
        <is>
          <t xml:space="preserve">Programming AVR Microcontroller (Elliot Ch.2–4)</t>
        </is>
      </c>
      <c r="E76" s="6">
        <v>4</v>
      </c>
      <c r="F76" s="6">
        <v>80</v>
      </c>
      <c r="G76" s="2" t="inlineStr">
        <is>
          <t xml:space="preserve">12 bit işlemi alıştırması + 5 kod oku</t>
        </is>
      </c>
      <c r="H76" s="4">
        <v>46331</v>
      </c>
      <c r="I76" s="4">
        <v>46332</v>
      </c>
      <c r="J76" s="7" t="inlineStr">
        <is>
          <t xml:space="preserve">Not Started</t>
        </is>
      </c>
    </row>
    <row r="77">
      <c r="A77" s="3" t="inlineStr">
        <is>
          <t xml:space="preserve">CMPE453</t>
        </is>
      </c>
      <c r="B77" s="7" t="inlineStr">
        <is>
          <t xml:space="preserve">Materyal bekleniyor</t>
        </is>
      </c>
      <c r="C77" s="7" t="inlineStr">
        <is>
          <t xml:space="preserve">—</t>
        </is>
      </c>
      <c r="D77" s="2" t="inlineStr">
        <is>
          <t xml:space="preserve">AVR Microcontroller I/O (Lab 1)</t>
        </is>
      </c>
      <c r="E77" s="6">
        <v>4</v>
      </c>
      <c r="F77" s="6">
        <v>70</v>
      </c>
      <c r="G77" s="2" t="inlineStr">
        <is>
          <t xml:space="preserve">8 kod parçasını izle + 4 kod yaz (kağıt)</t>
        </is>
      </c>
      <c r="H77" s="4">
        <v>46332</v>
      </c>
      <c r="I77" s="4">
        <v>46333</v>
      </c>
      <c r="J77" s="7" t="inlineStr">
        <is>
          <t xml:space="preserve">Not Started</t>
        </is>
      </c>
    </row>
    <row r="78">
      <c r="A78" s="3" t="inlineStr">
        <is>
          <t xml:space="preserve">CMPE453</t>
        </is>
      </c>
      <c r="B78" s="7" t="inlineStr">
        <is>
          <t xml:space="preserve">Materyal bekleniyor</t>
        </is>
      </c>
      <c r="C78" s="7" t="inlineStr">
        <is>
          <t xml:space="preserve">—</t>
        </is>
      </c>
      <c r="D78" s="2" t="inlineStr">
        <is>
          <t xml:space="preserve">Programming Digital Input (Lab 2, Elliot Ch.5)</t>
        </is>
      </c>
      <c r="E78" s="6">
        <v>4</v>
      </c>
      <c r="F78" s="6">
        <v>60</v>
      </c>
      <c r="G78" s="2" t="inlineStr">
        <is>
          <t xml:space="preserve">6 kod okuma + 3 buton-LED uygulaması (kağıt)</t>
        </is>
      </c>
      <c r="H78" s="4">
        <v>46333</v>
      </c>
      <c r="I78" s="4">
        <v>46334</v>
      </c>
      <c r="J78" s="7" t="inlineStr">
        <is>
          <t xml:space="preserve">Not Started</t>
        </is>
      </c>
    </row>
    <row r="79">
      <c r="A79" s="3" t="inlineStr">
        <is>
          <t xml:space="preserve">CMPE453</t>
        </is>
      </c>
      <c r="B79" s="7" t="inlineStr">
        <is>
          <t xml:space="preserve">Materyal bekleniyor</t>
        </is>
      </c>
      <c r="C79" s="7" t="inlineStr">
        <is>
          <t xml:space="preserve">—</t>
        </is>
      </c>
      <c r="D79" s="2" t="inlineStr">
        <is>
          <t xml:space="preserve">Serial Communication: USART (Elliot Ch.5)</t>
        </is>
      </c>
      <c r="E79" s="6">
        <v>4</v>
      </c>
      <c r="F79" s="6">
        <v>80</v>
      </c>
      <c r="G79" s="2" t="inlineStr">
        <is>
          <t xml:space="preserve">5 baud/UBRR hesabı + 4 kod okuma</t>
        </is>
      </c>
      <c r="H79" s="4">
        <v>46334</v>
      </c>
      <c r="I79" s="4">
        <v>46335</v>
      </c>
      <c r="J79" s="7" t="inlineStr">
        <is>
          <t xml:space="preserve">Not Started</t>
        </is>
      </c>
    </row>
    <row r="80">
      <c r="A80" s="3" t="inlineStr">
        <is>
          <t xml:space="preserve">CMPE453</t>
        </is>
      </c>
      <c r="B80" s="7" t="inlineStr">
        <is>
          <t xml:space="preserve">Materyal bekleniyor</t>
        </is>
      </c>
      <c r="C80" s="7" t="inlineStr">
        <is>
          <t xml:space="preserve">—</t>
        </is>
      </c>
      <c r="D80" s="2" t="inlineStr">
        <is>
          <t xml:space="preserve">Serial Communication: SPI, I2C (Lab 3, Elliot Ch.7)</t>
        </is>
      </c>
      <c r="E80" s="6">
        <v>4</v>
      </c>
      <c r="F80" s="6">
        <v>80</v>
      </c>
      <c r="G80" s="2" t="inlineStr">
        <is>
          <t xml:space="preserve">Zaman diyagramı çiz + 6 soru</t>
        </is>
      </c>
      <c r="H80" s="4">
        <v>46335</v>
      </c>
      <c r="I80" s="4">
        <v>46336</v>
      </c>
      <c r="J80" s="7" t="inlineStr">
        <is>
          <t xml:space="preserve">Not Started</t>
        </is>
      </c>
    </row>
    <row r="81">
      <c r="A81" s="3" t="inlineStr">
        <is>
          <t xml:space="preserve">CMPE453</t>
        </is>
      </c>
      <c r="B81" s="7" t="inlineStr">
        <is>
          <t xml:space="preserve">Materyal bekleniyor</t>
        </is>
      </c>
      <c r="C81" s="7" t="inlineStr">
        <is>
          <t xml:space="preserve">—</t>
        </is>
      </c>
      <c r="D81" s="2" t="inlineStr">
        <is>
          <t xml:space="preserve">Analog-to-Digital Conversion (Elliot Ch.7)</t>
        </is>
      </c>
      <c r="E81" s="6">
        <v>4</v>
      </c>
      <c r="F81" s="6">
        <v>70</v>
      </c>
      <c r="G81" s="2" t="inlineStr">
        <is>
          <t xml:space="preserve">6 dönüşüm hesabı + 3 kod okuma</t>
        </is>
      </c>
      <c r="H81" s="4">
        <v>46336</v>
      </c>
      <c r="I81" s="4">
        <v>46337</v>
      </c>
      <c r="J81" s="7" t="inlineStr">
        <is>
          <t xml:space="preserve">Not Started</t>
        </is>
      </c>
    </row>
    <row r="82">
      <c r="A82" s="3" t="inlineStr">
        <is>
          <t xml:space="preserve">CMPE453</t>
        </is>
      </c>
      <c r="B82" s="7" t="inlineStr">
        <is>
          <t xml:space="preserve">Materyal bekleniyor</t>
        </is>
      </c>
      <c r="C82" s="7" t="inlineStr">
        <is>
          <t xml:space="preserve">—</t>
        </is>
      </c>
      <c r="D82" s="2" t="inlineStr">
        <is>
          <t xml:space="preserve">Interrupts (Elliot Ch.8)</t>
        </is>
      </c>
      <c r="E82" s="6">
        <v>4</v>
      </c>
      <c r="F82" s="6">
        <v>80</v>
      </c>
      <c r="G82" s="2" t="inlineStr">
        <is>
          <t xml:space="preserve">5 ISR kod okuma + 3 yazma (kağıt)</t>
        </is>
      </c>
      <c r="H82" s="4">
        <v>46341</v>
      </c>
      <c r="I82" s="4">
        <v>46342</v>
      </c>
      <c r="J82" s="7" t="inlineStr">
        <is>
          <t xml:space="preserve">Not Started</t>
        </is>
      </c>
    </row>
    <row r="83">
      <c r="A83" s="3" t="inlineStr">
        <is>
          <t xml:space="preserve">CMPE453</t>
        </is>
      </c>
      <c r="B83" s="7" t="inlineStr">
        <is>
          <t xml:space="preserve">Materyal bekleniyor</t>
        </is>
      </c>
      <c r="C83" s="7" t="inlineStr">
        <is>
          <t xml:space="preserve">—</t>
        </is>
      </c>
      <c r="D83" s="2" t="inlineStr">
        <is>
          <t xml:space="preserve">Timers/counters (Lab 4, Elliot Ch.9)</t>
        </is>
      </c>
      <c r="E83" s="6">
        <v>4</v>
      </c>
      <c r="F83" s="6">
        <v>90</v>
      </c>
      <c r="G83" s="2" t="inlineStr">
        <is>
          <t xml:space="preserve">6 zaman hesabı + 3 kod</t>
        </is>
      </c>
      <c r="H83" s="4">
        <v>46343</v>
      </c>
      <c r="I83" s="4">
        <v>46344</v>
      </c>
      <c r="J83" s="7" t="inlineStr">
        <is>
          <t xml:space="preserve">Not Started</t>
        </is>
      </c>
    </row>
    <row r="84">
      <c r="A84" s="3" t="inlineStr">
        <is>
          <t xml:space="preserve">CMPE453</t>
        </is>
      </c>
      <c r="B84" s="7" t="inlineStr">
        <is>
          <t xml:space="preserve">Materyal bekleniyor</t>
        </is>
      </c>
      <c r="C84" s="7" t="inlineStr">
        <is>
          <t xml:space="preserve">—</t>
        </is>
      </c>
      <c r="D84" s="2" t="inlineStr">
        <is>
          <t xml:space="preserve">PWM (Elliot Ch.10)</t>
        </is>
      </c>
      <c r="E84" s="6">
        <v>4</v>
      </c>
      <c r="F84" s="6">
        <v>80</v>
      </c>
      <c r="G84" s="2" t="inlineStr">
        <is>
          <t xml:space="preserve">6 duty/frekans hesabı</t>
        </is>
      </c>
      <c r="H84" s="4">
        <v>46353</v>
      </c>
      <c r="I84" s="4">
        <v>46354</v>
      </c>
      <c r="J84" s="7" t="inlineStr">
        <is>
          <t xml:space="preserve">Not Started</t>
        </is>
      </c>
    </row>
    <row r="85">
      <c r="A85" s="3" t="inlineStr">
        <is>
          <t xml:space="preserve">CMPE453</t>
        </is>
      </c>
      <c r="B85" s="7" t="inlineStr">
        <is>
          <t xml:space="preserve">Materyal bekleniyor</t>
        </is>
      </c>
      <c r="C85" s="7" t="inlineStr">
        <is>
          <t xml:space="preserve">—</t>
        </is>
      </c>
      <c r="D85" s="2" t="inlineStr">
        <is>
          <t xml:space="preserve">Basics of ARM Cortex (STM32) (STM32 Manual)</t>
        </is>
      </c>
      <c r="E85" s="6">
        <v>4</v>
      </c>
      <c r="F85" s="6">
        <v>60</v>
      </c>
      <c r="G85" s="2" t="inlineStr">
        <is>
          <t xml:space="preserve">10 kavram sorusu</t>
        </is>
      </c>
      <c r="H85" s="4">
        <v>46358</v>
      </c>
      <c r="I85" s="4">
        <v>46359</v>
      </c>
      <c r="J85" s="7" t="inlineStr">
        <is>
          <t xml:space="preserve">Not Started</t>
        </is>
      </c>
    </row>
    <row r="86">
      <c r="A86" s="3" t="inlineStr">
        <is>
          <t xml:space="preserve">CMPE453</t>
        </is>
      </c>
      <c r="B86" s="7" t="inlineStr">
        <is>
          <t xml:space="preserve">Materyal bekleniyor</t>
        </is>
      </c>
      <c r="C86" s="7" t="inlineStr">
        <is>
          <t xml:space="preserve">—</t>
        </is>
      </c>
      <c r="D86" s="2" t="inlineStr">
        <is>
          <t xml:space="preserve">GPIO Configuration and LED Blinking</t>
        </is>
      </c>
      <c r="E86" s="6">
        <v>4</v>
      </c>
      <c r="F86" s="6">
        <v>80</v>
      </c>
      <c r="G86" s="2" t="inlineStr">
        <is>
          <t xml:space="preserve">5 register yapılandırması (kağıt) (Lab 5)</t>
        </is>
      </c>
      <c r="H86" s="4">
        <v>46362</v>
      </c>
      <c r="I86" s="4">
        <v>46363</v>
      </c>
      <c r="J86" s="7" t="inlineStr">
        <is>
          <t xml:space="preserve">Not Started</t>
        </is>
      </c>
    </row>
    <row r="87">
      <c r="A87" s="3" t="inlineStr">
        <is>
          <t xml:space="preserve">CMPE453</t>
        </is>
      </c>
      <c r="B87" s="7" t="inlineStr">
        <is>
          <t xml:space="preserve">Materyal bekleniyor</t>
        </is>
      </c>
      <c r="C87" s="7" t="inlineStr">
        <is>
          <t xml:space="preserve">—</t>
        </is>
      </c>
      <c r="D87" s="2" t="inlineStr">
        <is>
          <t xml:space="preserve">PWM for ARM Cortex</t>
        </is>
      </c>
      <c r="E87" s="6">
        <v>4</v>
      </c>
      <c r="F87" s="6">
        <v>80</v>
      </c>
      <c r="G87" s="2" t="inlineStr">
        <is>
          <t xml:space="preserve">5 hesap + 2 kod (Lab 6)</t>
        </is>
      </c>
      <c r="H87" s="4">
        <v>46366</v>
      </c>
      <c r="I87" s="4">
        <v>46367</v>
      </c>
      <c r="J87" s="7" t="inlineStr">
        <is>
          <t xml:space="preserve">Not Started</t>
        </is>
      </c>
    </row>
  </sheetData>
  <autoFilter ref="A4:J87"/>
  <conditionalFormatting sqref="A5:J87">
    <cfRule type="expression" dxfId="0" priority="1">
      <formula>$J5="Completed"</formula>
    </cfRule>
  </conditionalFormatting>
  <dataValidations count="1">
    <dataValidation type="list" allowBlank="1" showErrorMessage="1" sqref="J5:J87">
      <formula1>"Not Started,In Progress,Completed,Postponed,Blocked"</formula1>
    </dataValidation>
  </dataValidations>
  <pageMargins left="0.5" right="0.5" top="0.6" bottom="0.6" header="0.3" footer="0.3"/>
  <pageSetup paperSize="9" orientation="landscape"/>
</worksheet>
</file>

<file path=xl/worksheets/sheet10.xml><?xml version="1.0" encoding="utf-8"?>
<worksheet xmlns="http://schemas.openxmlformats.org/spreadsheetml/2006/main">
  <sheetPr>
    <tabColor rgb="FFF9A825"/>
  </sheetPr>
  <dimension ref="A1:K13"/>
  <sheetViews>
    <sheetView workbookViewId="0" showGridLines="0"/>
  </sheetViews>
  <sheetFormatPr defaultRowHeight="15"/>
  <cols>
    <col min="1" max="1" width="18" customWidth="1"/>
    <col min="2" max="2" width="12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4" customWidth="1"/>
    <col min="9" max="9" width="36" customWidth="1"/>
    <col min="10" max="10" width="36" customWidth="1"/>
    <col min="11" max="11" width="30" customWidth="1"/>
  </cols>
  <sheetData>
    <row r="1">
      <c r="A1" s="10" t="inlineStr">
        <is>
          <t xml:space="preserve">Haftalık değerlendirme</t>
        </is>
      </c>
    </row>
    <row r="3" ht="32" customHeight="1">
      <c r="A3" s="1" t="inlineStr">
        <is>
          <t xml:space="preserve">Hafta</t>
        </is>
      </c>
      <c r="B3" s="1" t="inlineStr">
        <is>
          <t xml:space="preserve">Başlangıç</t>
        </is>
      </c>
      <c r="C3" s="1" t="inlineStr">
        <is>
          <t xml:space="preserve">Bitiş</t>
        </is>
      </c>
      <c r="D3" s="1" t="inlineStr">
        <is>
          <t xml:space="preserve">Planlanan görev</t>
        </is>
      </c>
      <c r="E3" s="1" t="inlineStr">
        <is>
          <t xml:space="preserve">Tamamlanan</t>
        </is>
      </c>
      <c r="F3" s="1" t="inlineStr">
        <is>
          <t xml:space="preserve">% Tamamlanma</t>
        </is>
      </c>
      <c r="G3" s="1" t="inlineStr">
        <is>
          <t xml:space="preserve">Planlanan dk</t>
        </is>
      </c>
      <c r="H3" s="1" t="inlineStr">
        <is>
          <t xml:space="preserve">Tamamlanan dk</t>
        </is>
      </c>
      <c r="I3" s="1" t="inlineStr">
        <is>
          <t xml:space="preserve">Eksik kalan konular</t>
        </is>
      </c>
      <c r="J3" s="1" t="inlineStr">
        <is>
          <t xml:space="preserve">Sonraki hafta hedefleri</t>
        </is>
      </c>
      <c r="K3" s="1" t="inlineStr">
        <is>
          <t xml:space="preserve">Notlar</t>
        </is>
      </c>
    </row>
    <row r="4" ht="42" customHeight="1">
      <c r="A4" s="2" t="inlineStr">
        <is>
          <t xml:space="preserve">Hafta 5 (kalan)</t>
        </is>
      </c>
      <c r="B4" s="4">
        <v>46325</v>
      </c>
      <c r="C4" s="4">
        <v>46327</v>
      </c>
      <c r="D4" s="6">
        <f>COUNTIFS('Daily Tasks'!$B$2:$B$435,"&gt;="&amp;$B4,'Daily Tasks'!$B$2:$B$435,"&lt;="&amp;$C4)</f>
      </c>
      <c r="E4" s="6">
        <f>COUNTIFS('Daily Tasks'!$B$2:$B$435,"&gt;="&amp;$B4,'Daily Tasks'!$B$2:$B$435,"&lt;="&amp;$C4,'Daily Tasks'!$J$2:$J$435,"Completed")</f>
      </c>
      <c r="F4" s="5">
        <f>IF(D4=0,0,E4/D4)</f>
      </c>
      <c r="G4" s="6">
        <f>SUMIFS('Daily Tasks'!$G$2:$G$435,'Daily Tasks'!$B$2:$B$435,"&gt;="&amp;$B4,'Daily Tasks'!$B$2:$B$435,"&lt;="&amp;$C4)</f>
      </c>
      <c r="H4" s="6">
        <f>SUMIFS('Daily Tasks'!$G$2:$G$435,'Daily Tasks'!$B$2:$B$435,"&gt;="&amp;$B4,'Daily Tasks'!$B$2:$B$435,"&lt;="&amp;$C4,'Daily Tasks'!$J$2:$J$435,"Completed")</f>
      </c>
      <c r="I4" s="7"/>
      <c r="J4" s="7"/>
      <c r="K4" s="7"/>
    </row>
    <row r="5" ht="42" customHeight="1">
      <c r="A5" s="2" t="inlineStr">
        <is>
          <t xml:space="preserve">Hafta 6</t>
        </is>
      </c>
      <c r="B5" s="4">
        <v>46328</v>
      </c>
      <c r="C5" s="4">
        <v>46334</v>
      </c>
      <c r="D5" s="6">
        <f>COUNTIFS('Daily Tasks'!$B$2:$B$435,"&gt;="&amp;$B5,'Daily Tasks'!$B$2:$B$435,"&lt;="&amp;$C5)</f>
      </c>
      <c r="E5" s="6">
        <f>COUNTIFS('Daily Tasks'!$B$2:$B$435,"&gt;="&amp;$B5,'Daily Tasks'!$B$2:$B$435,"&lt;="&amp;$C5,'Daily Tasks'!$J$2:$J$435,"Completed")</f>
      </c>
      <c r="F5" s="5">
        <f>IF(D5=0,0,E5/D5)</f>
      </c>
      <c r="G5" s="6">
        <f>SUMIFS('Daily Tasks'!$G$2:$G$435,'Daily Tasks'!$B$2:$B$435,"&gt;="&amp;$B5,'Daily Tasks'!$B$2:$B$435,"&lt;="&amp;$C5)</f>
      </c>
      <c r="H5" s="6">
        <f>SUMIFS('Daily Tasks'!$G$2:$G$435,'Daily Tasks'!$B$2:$B$435,"&gt;="&amp;$B5,'Daily Tasks'!$B$2:$B$435,"&lt;="&amp;$C5,'Daily Tasks'!$J$2:$J$435,"Completed")</f>
      </c>
      <c r="I5" s="7"/>
      <c r="J5" s="7"/>
      <c r="K5" s="7"/>
    </row>
    <row r="6" ht="42" customHeight="1">
      <c r="A6" s="2" t="inlineStr">
        <is>
          <t xml:space="preserve">Hafta 7</t>
        </is>
      </c>
      <c r="B6" s="4">
        <v>46335</v>
      </c>
      <c r="C6" s="4">
        <v>46341</v>
      </c>
      <c r="D6" s="6">
        <f>COUNTIFS('Daily Tasks'!$B$2:$B$435,"&gt;="&amp;$B6,'Daily Tasks'!$B$2:$B$435,"&lt;="&amp;$C6)</f>
      </c>
      <c r="E6" s="6">
        <f>COUNTIFS('Daily Tasks'!$B$2:$B$435,"&gt;="&amp;$B6,'Daily Tasks'!$B$2:$B$435,"&lt;="&amp;$C6,'Daily Tasks'!$J$2:$J$435,"Completed")</f>
      </c>
      <c r="F6" s="5">
        <f>IF(D6=0,0,E6/D6)</f>
      </c>
      <c r="G6" s="6">
        <f>SUMIFS('Daily Tasks'!$G$2:$G$435,'Daily Tasks'!$B$2:$B$435,"&gt;="&amp;$B6,'Daily Tasks'!$B$2:$B$435,"&lt;="&amp;$C6)</f>
      </c>
      <c r="H6" s="6">
        <f>SUMIFS('Daily Tasks'!$G$2:$G$435,'Daily Tasks'!$B$2:$B$435,"&gt;="&amp;$B6,'Daily Tasks'!$B$2:$B$435,"&lt;="&amp;$C6,'Daily Tasks'!$J$2:$J$435,"Completed")</f>
      </c>
      <c r="I6" s="7"/>
      <c r="J6" s="7"/>
      <c r="K6" s="7"/>
    </row>
    <row r="7" ht="42" customHeight="1">
      <c r="A7" s="2" t="inlineStr">
        <is>
          <t xml:space="preserve">Hafta 8</t>
        </is>
      </c>
      <c r="B7" s="4">
        <v>46342</v>
      </c>
      <c r="C7" s="4">
        <v>46348</v>
      </c>
      <c r="D7" s="6">
        <f>COUNTIFS('Daily Tasks'!$B$2:$B$435,"&gt;="&amp;$B7,'Daily Tasks'!$B$2:$B$435,"&lt;="&amp;$C7)</f>
      </c>
      <c r="E7" s="6">
        <f>COUNTIFS('Daily Tasks'!$B$2:$B$435,"&gt;="&amp;$B7,'Daily Tasks'!$B$2:$B$435,"&lt;="&amp;$C7,'Daily Tasks'!$J$2:$J$435,"Completed")</f>
      </c>
      <c r="F7" s="5">
        <f>IF(D7=0,0,E7/D7)</f>
      </c>
      <c r="G7" s="6">
        <f>SUMIFS('Daily Tasks'!$G$2:$G$435,'Daily Tasks'!$B$2:$B$435,"&gt;="&amp;$B7,'Daily Tasks'!$B$2:$B$435,"&lt;="&amp;$C7)</f>
      </c>
      <c r="H7" s="6">
        <f>SUMIFS('Daily Tasks'!$G$2:$G$435,'Daily Tasks'!$B$2:$B$435,"&gt;="&amp;$B7,'Daily Tasks'!$B$2:$B$435,"&lt;="&amp;$C7,'Daily Tasks'!$J$2:$J$435,"Completed")</f>
      </c>
      <c r="I7" s="7"/>
      <c r="J7" s="7"/>
      <c r="K7" s="7"/>
    </row>
    <row r="8" ht="42" customHeight="1">
      <c r="A8" s="2" t="inlineStr">
        <is>
          <t xml:space="preserve">Hafta 9</t>
        </is>
      </c>
      <c r="B8" s="4">
        <v>46349</v>
      </c>
      <c r="C8" s="4">
        <v>46355</v>
      </c>
      <c r="D8" s="6">
        <f>COUNTIFS('Daily Tasks'!$B$2:$B$435,"&gt;="&amp;$B8,'Daily Tasks'!$B$2:$B$435,"&lt;="&amp;$C8)</f>
      </c>
      <c r="E8" s="6">
        <f>COUNTIFS('Daily Tasks'!$B$2:$B$435,"&gt;="&amp;$B8,'Daily Tasks'!$B$2:$B$435,"&lt;="&amp;$C8,'Daily Tasks'!$J$2:$J$435,"Completed")</f>
      </c>
      <c r="F8" s="5">
        <f>IF(D8=0,0,E8/D8)</f>
      </c>
      <c r="G8" s="6">
        <f>SUMIFS('Daily Tasks'!$G$2:$G$435,'Daily Tasks'!$B$2:$B$435,"&gt;="&amp;$B8,'Daily Tasks'!$B$2:$B$435,"&lt;="&amp;$C8)</f>
      </c>
      <c r="H8" s="6">
        <f>SUMIFS('Daily Tasks'!$G$2:$G$435,'Daily Tasks'!$B$2:$B$435,"&gt;="&amp;$B8,'Daily Tasks'!$B$2:$B$435,"&lt;="&amp;$C8,'Daily Tasks'!$J$2:$J$435,"Completed")</f>
      </c>
      <c r="I8" s="7"/>
      <c r="J8" s="7"/>
      <c r="K8" s="7"/>
    </row>
    <row r="9" ht="42" customHeight="1">
      <c r="A9" s="2" t="inlineStr">
        <is>
          <t xml:space="preserve">Hafta 10</t>
        </is>
      </c>
      <c r="B9" s="4">
        <v>46356</v>
      </c>
      <c r="C9" s="4">
        <v>46362</v>
      </c>
      <c r="D9" s="6">
        <f>COUNTIFS('Daily Tasks'!$B$2:$B$435,"&gt;="&amp;$B9,'Daily Tasks'!$B$2:$B$435,"&lt;="&amp;$C9)</f>
      </c>
      <c r="E9" s="6">
        <f>COUNTIFS('Daily Tasks'!$B$2:$B$435,"&gt;="&amp;$B9,'Daily Tasks'!$B$2:$B$435,"&lt;="&amp;$C9,'Daily Tasks'!$J$2:$J$435,"Completed")</f>
      </c>
      <c r="F9" s="5">
        <f>IF(D9=0,0,E9/D9)</f>
      </c>
      <c r="G9" s="6">
        <f>SUMIFS('Daily Tasks'!$G$2:$G$435,'Daily Tasks'!$B$2:$B$435,"&gt;="&amp;$B9,'Daily Tasks'!$B$2:$B$435,"&lt;="&amp;$C9)</f>
      </c>
      <c r="H9" s="6">
        <f>SUMIFS('Daily Tasks'!$G$2:$G$435,'Daily Tasks'!$B$2:$B$435,"&gt;="&amp;$B9,'Daily Tasks'!$B$2:$B$435,"&lt;="&amp;$C9,'Daily Tasks'!$J$2:$J$435,"Completed")</f>
      </c>
      <c r="I9" s="7"/>
      <c r="J9" s="7"/>
      <c r="K9" s="7"/>
    </row>
    <row r="10" ht="42" customHeight="1">
      <c r="A10" s="2" t="inlineStr">
        <is>
          <t xml:space="preserve">Hafta 11</t>
        </is>
      </c>
      <c r="B10" s="4">
        <v>46363</v>
      </c>
      <c r="C10" s="4">
        <v>46369</v>
      </c>
      <c r="D10" s="6">
        <f>COUNTIFS('Daily Tasks'!$B$2:$B$435,"&gt;="&amp;$B10,'Daily Tasks'!$B$2:$B$435,"&lt;="&amp;$C10)</f>
      </c>
      <c r="E10" s="6">
        <f>COUNTIFS('Daily Tasks'!$B$2:$B$435,"&gt;="&amp;$B10,'Daily Tasks'!$B$2:$B$435,"&lt;="&amp;$C10,'Daily Tasks'!$J$2:$J$435,"Completed")</f>
      </c>
      <c r="F10" s="5">
        <f>IF(D10=0,0,E10/D10)</f>
      </c>
      <c r="G10" s="6">
        <f>SUMIFS('Daily Tasks'!$G$2:$G$435,'Daily Tasks'!$B$2:$B$435,"&gt;="&amp;$B10,'Daily Tasks'!$B$2:$B$435,"&lt;="&amp;$C10)</f>
      </c>
      <c r="H10" s="6">
        <f>SUMIFS('Daily Tasks'!$G$2:$G$435,'Daily Tasks'!$B$2:$B$435,"&gt;="&amp;$B10,'Daily Tasks'!$B$2:$B$435,"&lt;="&amp;$C10,'Daily Tasks'!$J$2:$J$435,"Completed")</f>
      </c>
      <c r="I10" s="7"/>
      <c r="J10" s="7"/>
      <c r="K10" s="7"/>
    </row>
    <row r="11" ht="42" customHeight="1">
      <c r="A11" s="2" t="inlineStr">
        <is>
          <t xml:space="preserve">Hafta 12</t>
        </is>
      </c>
      <c r="B11" s="4">
        <v>46370</v>
      </c>
      <c r="C11" s="4">
        <v>46376</v>
      </c>
      <c r="D11" s="6">
        <f>COUNTIFS('Daily Tasks'!$B$2:$B$435,"&gt;="&amp;$B11,'Daily Tasks'!$B$2:$B$435,"&lt;="&amp;$C11)</f>
      </c>
      <c r="E11" s="6">
        <f>COUNTIFS('Daily Tasks'!$B$2:$B$435,"&gt;="&amp;$B11,'Daily Tasks'!$B$2:$B$435,"&lt;="&amp;$C11,'Daily Tasks'!$J$2:$J$435,"Completed")</f>
      </c>
      <c r="F11" s="5">
        <f>IF(D11=0,0,E11/D11)</f>
      </c>
      <c r="G11" s="6">
        <f>SUMIFS('Daily Tasks'!$G$2:$G$435,'Daily Tasks'!$B$2:$B$435,"&gt;="&amp;$B11,'Daily Tasks'!$B$2:$B$435,"&lt;="&amp;$C11)</f>
      </c>
      <c r="H11" s="6">
        <f>SUMIFS('Daily Tasks'!$G$2:$G$435,'Daily Tasks'!$B$2:$B$435,"&gt;="&amp;$B11,'Daily Tasks'!$B$2:$B$435,"&lt;="&amp;$C11,'Daily Tasks'!$J$2:$J$435,"Completed")</f>
      </c>
      <c r="I11" s="7"/>
      <c r="J11" s="7"/>
      <c r="K11" s="7"/>
    </row>
    <row r="12" ht="42" customHeight="1">
      <c r="A12" s="2" t="inlineStr">
        <is>
          <t xml:space="preserve">Hafta 13</t>
        </is>
      </c>
      <c r="B12" s="4">
        <v>46377</v>
      </c>
      <c r="C12" s="4">
        <v>46383</v>
      </c>
      <c r="D12" s="6">
        <f>COUNTIFS('Daily Tasks'!$B$2:$B$435,"&gt;="&amp;$B12,'Daily Tasks'!$B$2:$B$435,"&lt;="&amp;$C12)</f>
      </c>
      <c r="E12" s="6">
        <f>COUNTIFS('Daily Tasks'!$B$2:$B$435,"&gt;="&amp;$B12,'Daily Tasks'!$B$2:$B$435,"&lt;="&amp;$C12,'Daily Tasks'!$J$2:$J$435,"Completed")</f>
      </c>
      <c r="F12" s="5">
        <f>IF(D12=0,0,E12/D12)</f>
      </c>
      <c r="G12" s="6">
        <f>SUMIFS('Daily Tasks'!$G$2:$G$435,'Daily Tasks'!$B$2:$B$435,"&gt;="&amp;$B12,'Daily Tasks'!$B$2:$B$435,"&lt;="&amp;$C12)</f>
      </c>
      <c r="H12" s="6">
        <f>SUMIFS('Daily Tasks'!$G$2:$G$435,'Daily Tasks'!$B$2:$B$435,"&gt;="&amp;$B12,'Daily Tasks'!$B$2:$B$435,"&lt;="&amp;$C12,'Daily Tasks'!$J$2:$J$435,"Completed")</f>
      </c>
      <c r="I12" s="7"/>
      <c r="J12" s="7"/>
      <c r="K12" s="7"/>
    </row>
    <row r="13" ht="42" customHeight="1">
      <c r="A13" s="2" t="inlineStr">
        <is>
          <t xml:space="preserve">Hafta 14</t>
        </is>
      </c>
      <c r="B13" s="4">
        <v>46384</v>
      </c>
      <c r="C13" s="4">
        <v>46387</v>
      </c>
      <c r="D13" s="6">
        <f>COUNTIFS('Daily Tasks'!$B$2:$B$435,"&gt;="&amp;$B13,'Daily Tasks'!$B$2:$B$435,"&lt;="&amp;$C13)</f>
      </c>
      <c r="E13" s="6">
        <f>COUNTIFS('Daily Tasks'!$B$2:$B$435,"&gt;="&amp;$B13,'Daily Tasks'!$B$2:$B$435,"&lt;="&amp;$C13,'Daily Tasks'!$J$2:$J$435,"Completed")</f>
      </c>
      <c r="F13" s="5">
        <f>IF(D13=0,0,E13/D13)</f>
      </c>
      <c r="G13" s="6">
        <f>SUMIFS('Daily Tasks'!$G$2:$G$435,'Daily Tasks'!$B$2:$B$435,"&gt;="&amp;$B13,'Daily Tasks'!$B$2:$B$435,"&lt;="&amp;$C13)</f>
      </c>
      <c r="H13" s="6">
        <f>SUMIFS('Daily Tasks'!$G$2:$G$435,'Daily Tasks'!$B$2:$B$435,"&gt;="&amp;$B13,'Daily Tasks'!$B$2:$B$435,"&lt;="&amp;$C13,'Daily Tasks'!$J$2:$J$435,"Completed")</f>
      </c>
      <c r="I13" s="7"/>
      <c r="J13" s="7"/>
      <c r="K13" s="7"/>
    </row>
  </sheetData>
  <conditionalFormatting sqref="F4:F13">
    <cfRule type="dataBar" priority="1">
      <dataBar>
        <cfvo type="num" val="0"/>
        <cfvo type="num" val="1"/>
        <color rgb="FF22C55E"/>
      </dataBar>
    </cfRule>
  </conditionalFormatting>
  <pageMargins left="0.5" right="0.5" top="0.6" bottom="0.6" header="0.3" footer="0.3"/>
  <pageSetup paperSize="9" orientation="landscape"/>
</worksheet>
</file>